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266012\AppData\Local\Box\Box Edit\Documents\3eewVs6Ea0yVg9_XL1Da_w==\"/>
    </mc:Choice>
  </mc:AlternateContent>
  <xr:revisionPtr revIDLastSave="0" documentId="13_ncr:1_{53DF5472-8C7D-404C-8300-BFEEC568F62E}" xr6:coauthVersionLast="47" xr6:coauthVersionMax="47" xr10:uidLastSave="{00000000-0000-0000-0000-000000000000}"/>
  <bookViews>
    <workbookView xWindow="29535" yWindow="705" windowWidth="27600" windowHeight="13785" xr2:uid="{BB1187C3-6A8A-9D45-9EB8-169C0A8FB83D}"/>
  </bookViews>
  <sheets>
    <sheet name="IA Criteria" sheetId="9" r:id="rId1"/>
    <sheet name="General Comments" sheetId="11" r:id="rId2"/>
    <sheet name="Reference" sheetId="10" r:id="rId3"/>
    <sheet name="Archive Detailed Criteria" sheetId="1" r:id="rId4"/>
  </sheets>
  <definedNames>
    <definedName name="_xlnm._FilterDatabase" localSheetId="0" hidden="1">'IA Criteria'!$A$1:$A$18</definedName>
    <definedName name="CriteriaType">#REF!</definedName>
    <definedName name="MaturityLevelDescrip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9" l="1"/>
  <c r="C3" i="9"/>
  <c r="C4" i="9"/>
  <c r="C5" i="9"/>
  <c r="B5" i="9" s="1"/>
  <c r="C6" i="9"/>
  <c r="C7" i="9"/>
  <c r="C8" i="9"/>
  <c r="C9" i="9"/>
  <c r="C10" i="9"/>
  <c r="C11" i="9"/>
  <c r="C12" i="9"/>
  <c r="C13" i="9"/>
  <c r="C14" i="9"/>
  <c r="C15" i="9"/>
  <c r="C16" i="9"/>
  <c r="C17" i="9"/>
  <c r="C18" i="9"/>
  <c r="C19" i="9"/>
  <c r="C20" i="9"/>
  <c r="C21" i="9"/>
  <c r="C22" i="9"/>
  <c r="C23" i="9"/>
  <c r="C24" i="9"/>
  <c r="C25" i="9"/>
  <c r="C26" i="9"/>
  <c r="C27" i="9"/>
  <c r="C28" i="9"/>
  <c r="C29" i="9"/>
  <c r="B29" i="9" s="1"/>
  <c r="C30" i="9"/>
  <c r="C31" i="9"/>
  <c r="C32" i="9"/>
  <c r="C33" i="9"/>
  <c r="C34" i="9"/>
  <c r="C35" i="9"/>
  <c r="C36" i="9"/>
  <c r="C37" i="9"/>
  <c r="C38" i="9"/>
  <c r="C39" i="9"/>
  <c r="C40" i="9"/>
  <c r="C41" i="9"/>
  <c r="C42" i="9"/>
  <c r="C43" i="9"/>
  <c r="C44" i="9"/>
  <c r="C45" i="9"/>
  <c r="B45" i="9" s="1"/>
  <c r="C46" i="9"/>
  <c r="C47" i="9"/>
  <c r="C48" i="9"/>
  <c r="C49" i="9"/>
  <c r="C50" i="9"/>
  <c r="C51" i="9"/>
  <c r="C52" i="9"/>
  <c r="C53" i="9"/>
  <c r="C54" i="9"/>
  <c r="C55" i="9"/>
  <c r="C56" i="9"/>
  <c r="C57" i="9"/>
  <c r="B57" i="9" s="1"/>
  <c r="C58" i="9"/>
  <c r="C59" i="9"/>
  <c r="C60" i="9"/>
  <c r="C61" i="9"/>
  <c r="H42" i="9"/>
  <c r="K2" i="9"/>
  <c r="K3" i="9"/>
  <c r="B3" i="9" s="1"/>
  <c r="K4" i="9"/>
  <c r="B4" i="9" s="1"/>
  <c r="K5" i="9"/>
  <c r="K6" i="9"/>
  <c r="K7" i="9"/>
  <c r="K8" i="9"/>
  <c r="K9" i="9"/>
  <c r="K10" i="9"/>
  <c r="K11" i="9"/>
  <c r="K12" i="9"/>
  <c r="B12" i="9" s="1"/>
  <c r="K13" i="9"/>
  <c r="K14" i="9"/>
  <c r="K15" i="9"/>
  <c r="K16" i="9"/>
  <c r="K17" i="9"/>
  <c r="K18" i="9"/>
  <c r="K19" i="9"/>
  <c r="B19" i="9" s="1"/>
  <c r="K20" i="9"/>
  <c r="B20" i="9" s="1"/>
  <c r="K21" i="9"/>
  <c r="K22" i="9"/>
  <c r="K23" i="9"/>
  <c r="K24" i="9"/>
  <c r="K25" i="9"/>
  <c r="K26" i="9"/>
  <c r="K27" i="9"/>
  <c r="B27" i="9" s="1"/>
  <c r="K28" i="9"/>
  <c r="B28" i="9" s="1"/>
  <c r="K29" i="9"/>
  <c r="K30" i="9"/>
  <c r="K31" i="9"/>
  <c r="K32" i="9"/>
  <c r="K33" i="9"/>
  <c r="K34" i="9"/>
  <c r="K35" i="9"/>
  <c r="K36" i="9"/>
  <c r="B36" i="9" s="1"/>
  <c r="K37" i="9"/>
  <c r="K38" i="9"/>
  <c r="K39" i="9"/>
  <c r="K40" i="9"/>
  <c r="K41" i="9"/>
  <c r="K42" i="9"/>
  <c r="K43" i="9"/>
  <c r="B43" i="9" s="1"/>
  <c r="K44" i="9"/>
  <c r="B44" i="9" s="1"/>
  <c r="K45" i="9"/>
  <c r="K46" i="9"/>
  <c r="K47" i="9"/>
  <c r="K48" i="9"/>
  <c r="K49" i="9"/>
  <c r="K50" i="9"/>
  <c r="K51" i="9"/>
  <c r="K52" i="9"/>
  <c r="K53" i="9"/>
  <c r="K54" i="9"/>
  <c r="K55" i="9"/>
  <c r="K56" i="9"/>
  <c r="K57" i="9"/>
  <c r="K58" i="9"/>
  <c r="K59" i="9"/>
  <c r="B59" i="9" s="1"/>
  <c r="K60" i="9"/>
  <c r="B60" i="9" s="1"/>
  <c r="K61"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3" i="9"/>
  <c r="H44" i="9"/>
  <c r="H45" i="9"/>
  <c r="H46" i="9"/>
  <c r="H47" i="9"/>
  <c r="H48" i="9"/>
  <c r="H49" i="9"/>
  <c r="H50" i="9"/>
  <c r="H51" i="9"/>
  <c r="H52" i="9"/>
  <c r="H53" i="9"/>
  <c r="H54" i="9"/>
  <c r="H55" i="9"/>
  <c r="H56" i="9"/>
  <c r="H57" i="9"/>
  <c r="H58" i="9"/>
  <c r="H59" i="9"/>
  <c r="H60" i="9"/>
  <c r="H61" i="9"/>
  <c r="B11" i="9"/>
  <c r="B13" i="9"/>
  <c r="B25" i="9"/>
  <c r="B35" i="9"/>
  <c r="B37" i="9"/>
  <c r="B46" i="9"/>
  <c r="B51" i="9"/>
  <c r="B52" i="9"/>
  <c r="B61"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2" i="9"/>
  <c r="A67" i="1"/>
  <c r="A52" i="1"/>
  <c r="A30" i="1"/>
  <c r="A32" i="1"/>
  <c r="A5" i="1"/>
  <c r="A6" i="1"/>
  <c r="A15" i="1"/>
  <c r="A11" i="1"/>
  <c r="A10" i="1"/>
  <c r="A9" i="1"/>
  <c r="A3" i="1"/>
  <c r="A13" i="1"/>
  <c r="A4" i="1"/>
  <c r="A14" i="1"/>
  <c r="A12" i="1"/>
  <c r="A8" i="1"/>
  <c r="A24" i="1"/>
  <c r="A20" i="1"/>
  <c r="A25" i="1"/>
  <c r="A17" i="1"/>
  <c r="A18" i="1"/>
  <c r="A19" i="1"/>
  <c r="A23" i="1"/>
  <c r="A22" i="1"/>
  <c r="A21" i="1"/>
  <c r="A16" i="1"/>
  <c r="A38" i="1"/>
  <c r="A40" i="1"/>
  <c r="A33" i="1"/>
  <c r="A46" i="1"/>
  <c r="A43" i="1"/>
  <c r="A34" i="1"/>
  <c r="A28" i="1"/>
  <c r="A27" i="1"/>
  <c r="A39" i="1"/>
  <c r="A37" i="1"/>
  <c r="A31" i="1"/>
  <c r="A41" i="1"/>
  <c r="A26" i="1"/>
  <c r="A44" i="1"/>
  <c r="A49" i="1"/>
  <c r="A45" i="1"/>
  <c r="A50" i="1"/>
  <c r="A36" i="1"/>
  <c r="A29" i="1"/>
  <c r="A59" i="1"/>
  <c r="A57" i="1"/>
  <c r="A58" i="1"/>
  <c r="A60" i="1"/>
  <c r="A47" i="1"/>
  <c r="A56" i="1"/>
  <c r="A48" i="1"/>
  <c r="A55" i="1"/>
  <c r="A53" i="1"/>
  <c r="A51" i="1"/>
  <c r="A54" i="1"/>
  <c r="A65" i="1"/>
  <c r="A66" i="1"/>
  <c r="A69" i="1"/>
  <c r="A77" i="1"/>
  <c r="A79" i="1"/>
  <c r="A78" i="1"/>
  <c r="A80" i="1"/>
  <c r="A68" i="1"/>
  <c r="A70" i="1"/>
  <c r="A61" i="1"/>
  <c r="A72" i="1"/>
  <c r="A75" i="1"/>
  <c r="A62" i="1"/>
  <c r="A74" i="1"/>
  <c r="A76" i="1"/>
  <c r="A64" i="1"/>
  <c r="A71" i="1"/>
  <c r="A73" i="1"/>
  <c r="A7" i="1"/>
  <c r="B51" i="1"/>
  <c r="B59" i="1"/>
  <c r="B54" i="1"/>
  <c r="B55" i="1"/>
  <c r="B48" i="1"/>
  <c r="B56" i="1"/>
  <c r="B47" i="1"/>
  <c r="B60" i="1"/>
  <c r="B58" i="1"/>
  <c r="B57" i="1"/>
  <c r="B58" i="9" l="1"/>
  <c r="B50" i="9"/>
  <c r="B42" i="9"/>
  <c r="B34" i="9"/>
  <c r="B26" i="9"/>
  <c r="B10" i="9"/>
  <c r="B47" i="9"/>
  <c r="B38" i="9"/>
  <c r="B30" i="9"/>
  <c r="B22" i="9"/>
  <c r="B14" i="9"/>
  <c r="B6" i="9"/>
  <c r="B49" i="9"/>
  <c r="B41" i="9"/>
  <c r="B39" i="9"/>
  <c r="B31" i="9"/>
  <c r="B23" i="9"/>
  <c r="B15" i="9"/>
  <c r="B7" i="9"/>
  <c r="B33" i="9"/>
  <c r="B9" i="9"/>
  <c r="B56" i="9"/>
  <c r="B48" i="9"/>
  <c r="B40" i="9"/>
  <c r="B32" i="9"/>
  <c r="B24" i="9"/>
  <c r="B16" i="9"/>
  <c r="B8" i="9"/>
  <c r="B18" i="9"/>
  <c r="B2" i="9"/>
  <c r="B17" i="9"/>
  <c r="B21" i="9"/>
  <c r="B53" i="9"/>
  <c r="B54" i="9"/>
  <c r="B55" i="9"/>
</calcChain>
</file>

<file path=xl/sharedStrings.xml><?xml version="1.0" encoding="utf-8"?>
<sst xmlns="http://schemas.openxmlformats.org/spreadsheetml/2006/main" count="1349" uniqueCount="752">
  <si>
    <t>Level 1</t>
  </si>
  <si>
    <t>Level 2</t>
  </si>
  <si>
    <t>Level 3</t>
  </si>
  <si>
    <t>Level 4</t>
  </si>
  <si>
    <t>Level 5</t>
  </si>
  <si>
    <t>Business Intelligence &amp; Data Science</t>
  </si>
  <si>
    <t>Data Architecture, Modeling &amp; Design</t>
  </si>
  <si>
    <t>Data Governance</t>
  </si>
  <si>
    <t>Data Integration &amp; Interoperability</t>
  </si>
  <si>
    <t>Data Quality</t>
  </si>
  <si>
    <t>Data Security &amp; Privacy</t>
  </si>
  <si>
    <t>Data Storage &amp; Warehousing</t>
  </si>
  <si>
    <t>Document &amp; Content</t>
  </si>
  <si>
    <t>Master Data Management</t>
  </si>
  <si>
    <t>Metadata Management</t>
  </si>
  <si>
    <t>Reference Data Management</t>
  </si>
  <si>
    <t>Criteria Dimension</t>
  </si>
  <si>
    <t>Criteria ID</t>
  </si>
  <si>
    <t>Maturity Level</t>
  </si>
  <si>
    <t>Criteria</t>
  </si>
  <si>
    <t>Criteria Checklist</t>
  </si>
  <si>
    <t>Evidence (Viewpoint)</t>
  </si>
  <si>
    <t>Criteria Dimension Question</t>
  </si>
  <si>
    <t>Data Management Capability</t>
  </si>
  <si>
    <t>Comments</t>
  </si>
  <si>
    <t>Maturity Level #</t>
  </si>
  <si>
    <t>Information Quality</t>
  </si>
  <si>
    <t>Data quality rules have not been developed for the information asset.</t>
  </si>
  <si>
    <t>Data quality rules have been developed and documented for the information asset and is accessible by stakeholders.</t>
  </si>
  <si>
    <t xml:space="preserve">Data quality rules have been aligned to related T-MSIS rules, data anomalies and issues documented and tracked to the related information assets in a central repository. Data quality measures, standards and thresholds have been defined and included on data quality reports that are produced regularly. </t>
  </si>
  <si>
    <t xml:space="preserve">The quality of the information asset adheres to Enterprise Data Quality outcomes, processes, procedures, standards, metadata and technology and are regularly assessed for opportunities to improve the quality of the information asset. </t>
  </si>
  <si>
    <t>Information Classification</t>
  </si>
  <si>
    <t xml:space="preserve">Data security and privacy requirements have not been documented for the information asset. </t>
  </si>
  <si>
    <t>Information Analysis</t>
  </si>
  <si>
    <t>Information Exchange</t>
  </si>
  <si>
    <t>Information assets for every exchange of information that supports this capability have not been identified and documented.</t>
  </si>
  <si>
    <t>Information assets for every exchange of information that supports this capability have been identified and documented.</t>
  </si>
  <si>
    <t>Structure data standards that meet the business needs have been identified for every exchange of information that supports this capability and are traced to the applicable information asset.</t>
  </si>
  <si>
    <t xml:space="preserve">All information exchanges that support this capability align to enterprise data integration and interoperability outcomes, processes, policies, standards and technology and are regularly assessed for opportunities to improve the exchange of information. </t>
  </si>
  <si>
    <t>Information Reporting</t>
  </si>
  <si>
    <t xml:space="preserve">Reports and measures that are produced to support this capability have not been identified and documented. </t>
  </si>
  <si>
    <t xml:space="preserve">Reports and measures that are produced to support this capability have been identified and documented. </t>
  </si>
  <si>
    <t xml:space="preserve">Reports and measures that are used to support this capability adhere to enterprise business intelligence processes, procedures, standards, metadata and technology and are regularly assessed to improve the quality of the reports and measures. </t>
  </si>
  <si>
    <t>Information Content</t>
  </si>
  <si>
    <t>The unstructured data that supports this capability adheres to Enterprise document and content processes, procedures, standards, metadata and technology and are regularly assessed to improve the quality of the unstructured data.</t>
  </si>
  <si>
    <t>Information Metadata</t>
  </si>
  <si>
    <t xml:space="preserve">Metadata for the information assets that support this capability have not been identified and documented. </t>
  </si>
  <si>
    <t>All required metadata needed to support the information asset have been identified and is stored in a metadata repository, but it is managed in a silo.</t>
  </si>
  <si>
    <t xml:space="preserve">Metadata for the information asset adhere to Enterprise Metadata processes, procedures, and technology and are assessed regularly to identify metadata improvement opportunities. </t>
  </si>
  <si>
    <t>Information Governance</t>
  </si>
  <si>
    <t xml:space="preserve">Data governance roles and responsibilities have not been established or assigned to individuals for the impacted information assets. </t>
  </si>
  <si>
    <t xml:space="preserve">Information assets adhere to the enterprise data governance outcomes, processes, policies, standards and technology and are regularly assessed for opportunities to improve the governance of the information asset. </t>
  </si>
  <si>
    <t>Information Design</t>
  </si>
  <si>
    <t>Reference Information</t>
  </si>
  <si>
    <t>Master Information</t>
  </si>
  <si>
    <t>Information Storage</t>
  </si>
  <si>
    <t>Data store repositories (e.g. databases) used for persistently storing and managing the information assets used for this capability have not been identified and documented.</t>
  </si>
  <si>
    <t xml:space="preserve">Data store repositories (e.g. databases) used for persistently storing and managing the information assets used for this capability have been identified and documented. </t>
  </si>
  <si>
    <t>The Information assets that are used for this capability are not stored in multiple data store repositories resulting in no or low data duplication.</t>
  </si>
  <si>
    <t>Comment</t>
  </si>
  <si>
    <t>Submitter</t>
  </si>
  <si>
    <t>Maturity Criteria ID</t>
  </si>
  <si>
    <t>IA Criteria</t>
  </si>
  <si>
    <t>Archive Detailed Criteria</t>
  </si>
  <si>
    <t>Maturity Criteria Dimension</t>
  </si>
  <si>
    <t>Column</t>
  </si>
  <si>
    <t>Description</t>
  </si>
  <si>
    <t>Lookup Value</t>
  </si>
  <si>
    <t>Sheets</t>
  </si>
  <si>
    <t>Type</t>
  </si>
  <si>
    <t>Data Description</t>
  </si>
  <si>
    <t>Maturity Level ID</t>
  </si>
  <si>
    <t>Viewpoint Names</t>
  </si>
  <si>
    <t>Viewpoint Type</t>
  </si>
  <si>
    <t>Veiwpoint Status in Viewpoint Document</t>
  </si>
  <si>
    <t>Viewpoint Architecture</t>
  </si>
  <si>
    <t>Is the information used for this capability stored in locations that reduces duplication with defined retention and access policies?</t>
  </si>
  <si>
    <t>Data Storage and Warehousing</t>
  </si>
  <si>
    <t>Identifies the dimension used to classify the maturity criteria.</t>
  </si>
  <si>
    <t xml:space="preserve">Identifies the IA Criteria that has been defined for the MITA 4.0 assessment of the information used to support a specific capability. </t>
  </si>
  <si>
    <t>Initial</t>
  </si>
  <si>
    <t xml:space="preserve">Some of the information assets needed to support this capability have been identfiied and documented but not fully under control. </t>
  </si>
  <si>
    <t xml:space="preserve">Identifies the lowest maturity level that the criteria applies to. </t>
  </si>
  <si>
    <t>Organization/Actor Catalog</t>
  </si>
  <si>
    <t>Catalog</t>
  </si>
  <si>
    <t>Business Architecture</t>
  </si>
  <si>
    <t>Is the movement and transformation of information that is exchanged with trading partners to support this capability tracked and does it adhere to structure data standards?</t>
  </si>
  <si>
    <t>Data Integration and Interoperability</t>
  </si>
  <si>
    <t>Identifies the ID assigned to the Criteria ID</t>
  </si>
  <si>
    <t>X</t>
  </si>
  <si>
    <t>General Comments</t>
  </si>
  <si>
    <t xml:space="preserve">Identifies general comments from the MITA IA Workgroup. </t>
  </si>
  <si>
    <t>Developing</t>
  </si>
  <si>
    <t xml:space="preserve">The information needed to support this capability has been identified and documented. </t>
  </si>
  <si>
    <t>Crieria Name</t>
  </si>
  <si>
    <t xml:space="preserve">Identifies a unique name for the criteria. </t>
  </si>
  <si>
    <t>Role Catalog</t>
  </si>
  <si>
    <t>Are the reports that are created to support this capability documented and traceable to the specific data used to create each report?</t>
  </si>
  <si>
    <t>Identifies the maturity level that is assigned to the specific criteria</t>
  </si>
  <si>
    <t>Reference</t>
  </si>
  <si>
    <t>Identifies descriptions of the sheets, columns and references used throughout the workbook.</t>
  </si>
  <si>
    <t>Definition</t>
  </si>
  <si>
    <t xml:space="preserve">The information needed to support this capability adhere to data standards, reference models and specifications have been adopted and harmonized with the SMA's information, and measures/metrics for assessing the performance of the data (e.g. Data Quality) have been defined. </t>
  </si>
  <si>
    <t xml:space="preserve">Identifies the specific criteria that must be met in order to be assessed at the defined maturity level. </t>
  </si>
  <si>
    <t>Business Service/Function Catalog</t>
  </si>
  <si>
    <t xml:space="preserve">Is the unstructured data (e.g. paper documents) that supports this capability organized, controlled and categorized so that it can be stored, published and discovered by stakeholders that need it? </t>
  </si>
  <si>
    <t>Document and Content Management</t>
  </si>
  <si>
    <t xml:space="preserve">Identifies a description of the criteria that must be met in order to be at that maturity level. </t>
  </si>
  <si>
    <t>Archived Detailed Criteria</t>
  </si>
  <si>
    <t xml:space="preserve">Identifies the previous version of the IA Criteria. Includes specific evidence and detailed questions that can be used for updating the IA Criteria. </t>
  </si>
  <si>
    <t>Managed</t>
  </si>
  <si>
    <t>Identifies a category that groups similar types of criteria.</t>
  </si>
  <si>
    <t>Outcome Catalog</t>
  </si>
  <si>
    <t>Enterprise Architecture</t>
  </si>
  <si>
    <t>Is the metadata about the information used to support this capability captured, adhere to standards and stored in a central location so that stakeholders can search and discover information that is available for them to use?</t>
  </si>
  <si>
    <t>Identifies the specific questions, criteria that provides additional detail on how he maturity level is reached.</t>
  </si>
  <si>
    <t>Optimizing</t>
  </si>
  <si>
    <t>The information used to support this capability adheres to enterprise data management outcomes, processes, metadata and technology and uses standardized, controlled mechanisms to promote alignment and consistency of information across the enterprise including regularly assessesing, monitoring and tracking the performance of its information.</t>
  </si>
  <si>
    <t>Rationale</t>
  </si>
  <si>
    <t xml:space="preserve">Identifies the rationale for how the criteria supports the SMA and/or CMS. </t>
  </si>
  <si>
    <t>Process Catalog</t>
  </si>
  <si>
    <t>Present</t>
  </si>
  <si>
    <t>Are there individuals assigned to data governance roles that actively participate in the governance of the information used to support this capability and are there business terms that describe the meaning of the information documented?</t>
  </si>
  <si>
    <t xml:space="preserve">Identifies the viewpoints and related artifacts that can be used to prove the criteria has been met. </t>
  </si>
  <si>
    <t>Related Activity</t>
  </si>
  <si>
    <t>Identifies the activity that should be performed to meet this activity</t>
  </si>
  <si>
    <t>Business Capabilities Catalog</t>
  </si>
  <si>
    <t>Are the data dictionaries and other detailed definitions that describe the structure and relationships of the information used to support this capability defined and accessible to stakeholders?</t>
  </si>
  <si>
    <t>Data Architecture, Modeling, and Design</t>
  </si>
  <si>
    <t xml:space="preserve">Identifies the question that is associated with the Maturity Ctieria Dimension. </t>
  </si>
  <si>
    <t>Architecture</t>
  </si>
  <si>
    <t xml:space="preserve">identifies the architecture that applies to the criteria. </t>
  </si>
  <si>
    <t>Driver/Goal/Objectives Catalog</t>
  </si>
  <si>
    <t>Does the reference data that is included in the information used to support this capability adhere to standards and is documented, controlled and stored in a location that is accessible to stakeholders?</t>
  </si>
  <si>
    <t xml:space="preserve">Identifies the data management capability that is most associated with the criteira dimension. </t>
  </si>
  <si>
    <t>Suggested Validation Method</t>
  </si>
  <si>
    <t xml:space="preserve">Identifies a method for validating that the criteria has been met. </t>
  </si>
  <si>
    <t>Metric/Measure Catalog</t>
  </si>
  <si>
    <t>Is the information used to support this capability mastered so that all entities represented in the information are unique?</t>
  </si>
  <si>
    <t xml:space="preserve">Identify any comments or notes associated with the MITA maturity Criteria. </t>
  </si>
  <si>
    <t>Suggested Evidence</t>
  </si>
  <si>
    <t xml:space="preserve">Identifies the artifact or other items that can be used to validate that the criteria has been met. </t>
  </si>
  <si>
    <t>Contract/SLA Catolog</t>
  </si>
  <si>
    <t>Does the information used to support this capability have documented data quality rules and measures that are accessible to stakeholders and help ensure that the information is fit for use?</t>
  </si>
  <si>
    <t>Business Interaction Matrix</t>
  </si>
  <si>
    <t>Matrix</t>
  </si>
  <si>
    <t>Is the information used to support this capability classified  so that stakeholders can understand any security or privacy requirements associated with the access and use of the information?</t>
  </si>
  <si>
    <t>Actor/Role Matrix</t>
  </si>
  <si>
    <t>Is there advanced statistical analysis that is performed and used by stakeholders for decision-making to support this capability?</t>
  </si>
  <si>
    <t>Strategy/Capability Matrix</t>
  </si>
  <si>
    <t>Process/Data Subject Area</t>
  </si>
  <si>
    <t>Process/Technical Components</t>
  </si>
  <si>
    <t>Capability/Organization Matrix</t>
  </si>
  <si>
    <t>Process/Data Subject Area/Technical Components</t>
  </si>
  <si>
    <t>Business Footprint Diagram</t>
  </si>
  <si>
    <t>Core Diagram</t>
  </si>
  <si>
    <t>Capability Decomposition Diagram</t>
  </si>
  <si>
    <t>Product Lifecycle Diagram</t>
  </si>
  <si>
    <t>Business Case Diagram</t>
  </si>
  <si>
    <t>Business Use-Case Diagram</t>
  </si>
  <si>
    <t>Business Capability Map</t>
  </si>
  <si>
    <t>Value Stream Map</t>
  </si>
  <si>
    <t>Organization Map</t>
  </si>
  <si>
    <t>Goal/Objective/Service Diagram</t>
  </si>
  <si>
    <t>Extension Diagram</t>
  </si>
  <si>
    <t>Organization Decomposition Diagram</t>
  </si>
  <si>
    <t>Process Flow Diagram</t>
  </si>
  <si>
    <t>Event Diagram</t>
  </si>
  <si>
    <t>Scorecard</t>
  </si>
  <si>
    <t>Missing</t>
  </si>
  <si>
    <t xml:space="preserve">Data Transformation Matrix
</t>
  </si>
  <si>
    <t>Information Architecture</t>
  </si>
  <si>
    <t>Reference Data Crosswalk</t>
  </si>
  <si>
    <t>Business Glossary</t>
  </si>
  <si>
    <t>Capability Map Template</t>
  </si>
  <si>
    <t>Conceptual Data Model</t>
  </si>
  <si>
    <t>Data Asset Catalog</t>
  </si>
  <si>
    <t>Data Flow Diagram</t>
  </si>
  <si>
    <t>Data Rule Catalog</t>
  </si>
  <si>
    <t>Information to Technical Component Matrix</t>
  </si>
  <si>
    <t>Measure Catalog</t>
  </si>
  <si>
    <t>Outcome-based Planning Tool</t>
  </si>
  <si>
    <t>Physical Data Dictionary</t>
  </si>
  <si>
    <t>Process/Capability Matrix,</t>
  </si>
  <si>
    <t>Process to Information Asset Matrix</t>
  </si>
  <si>
    <t>Reference Data Catalog</t>
  </si>
  <si>
    <t>Report Catalog</t>
  </si>
  <si>
    <t>Summary Question</t>
  </si>
  <si>
    <t>Detailed Question</t>
  </si>
  <si>
    <t>Related Activity (ies)</t>
  </si>
  <si>
    <t>Category</t>
  </si>
  <si>
    <t>Column1</t>
  </si>
  <si>
    <t>Data Asset Identification</t>
  </si>
  <si>
    <t>The data assets that are used to support the capability have been identified.</t>
  </si>
  <si>
    <t>Has the SMA identified all of the data assets that are used to support the capability business processes?</t>
  </si>
  <si>
    <t>Ensures all data resources are accounted for and managed effectively.</t>
  </si>
  <si>
    <t>Data Governance Assets</t>
  </si>
  <si>
    <t>List the data stores, files, and repositories used for the capability and trace each one to a business function or transaction. Interview the business owner and technical lead to verify no source or shadow dataset used in production, reporting, or casework is missing from the inventory.</t>
  </si>
  <si>
    <t>Data inventory, application inventory, interface catalog, and architecture diagrams showing named data assets tied to the capability. Meeting notes, owner sign-off, or inventory metadata showing responsible owner and business use for each asset.</t>
  </si>
  <si>
    <t>Data Exchange Identification</t>
  </si>
  <si>
    <t xml:space="preserve">The data exchanges that support the capability have been defined and documented. </t>
  </si>
  <si>
    <t>Does the SMA integrate the information assets that support this capability into the enterprise and maintain interoperability?</t>
  </si>
  <si>
    <t>Has the SMA identified and documented the data exchanges that currently support the capability business processes?</t>
  </si>
  <si>
    <t>Enables effective management and governance of data flows between systems.</t>
  </si>
  <si>
    <t>Compile every inbound, outbound, and internal exchange that supports the capability and record sender, receiver, payload, and frequency. Trace a sample business transaction end to end to verify each required handoff is documented, including batch files, APIs, and manual transfers.</t>
  </si>
  <si>
    <t>Interface inventory, data exchange matrix, file transfer schedules, API catalog, and system context diagrams. Onboarding forms, trading partner lists, or ticket records showing the documented purpose and endpoints for each exchange.</t>
  </si>
  <si>
    <t>Data Issues &amp; Anomaly Identification</t>
  </si>
  <si>
    <t>Known data anomalies and issues that impact the data assets have been identified, documented and are tracked.</t>
  </si>
  <si>
    <t>Does the SMA manage the quality of the information assets that support this capability?</t>
  </si>
  <si>
    <t>Has the SMA identified and documented the data anomalies and issues that impact the identified data asset(s)?</t>
  </si>
  <si>
    <t>Enables proactive resolution and monitoring of data quality issues, ensuring reliability and accuracy.</t>
  </si>
  <si>
    <t>Review recent defects, reconciliation breaks, rejected transactions, and user-reported data problems to determine whether known anomalies affecting the capability have been cataloged. Compare the issue log to production support records to verify recurring data problems are being tracked with impact, owner, and status.</t>
  </si>
  <si>
    <t>Data issue register, defect log, reconciliation exception log, help desk tickets, and root-cause tracker. Evidence should show issue description, affected data asset, business impact, owner, and current disposition.</t>
  </si>
  <si>
    <t>Data Management Need Identification</t>
  </si>
  <si>
    <t>All associated data needs have been identified using data management capabilities.</t>
  </si>
  <si>
    <t>Does the SMA govern the information assets that support this capability?</t>
  </si>
  <si>
    <t>Has the SMA defined the data management needs for the capability business processes?</t>
  </si>
  <si>
    <t>Aligns data management activities with organizational objectives and stakeholder requirements.</t>
  </si>
  <si>
    <t>Document the data management needs for the capability across collection, storage, quality, security, sharing, retention, and reporting. Walk through one end-to-end use case to verify each lifecycle need has been identified for the supporting data.</t>
  </si>
  <si>
    <t>Capability-to-data needs matrix, requirements documents, use cases, and workshop outputs that enumerate lifecycle needs. Architecture or operating model notes showing which data management functions are needed for the capability.</t>
  </si>
  <si>
    <t>Data Profiling</t>
  </si>
  <si>
    <t xml:space="preserve">The data assets that are used to support the capability have been profiled. </t>
  </si>
  <si>
    <t>Has the SMA performed a data profile for the identified data assets?</t>
  </si>
  <si>
    <t>Provides insight into data quality, structure, and content to support informed data management decisions.</t>
  </si>
  <si>
    <t>Run profiling on representative source tables or files to document structure, completeness, uniqueness, valid values, and obvious anomalies. Compare profiling coverage to the list of critical data assets to verify the assets supporting the capability have actually been profiled.</t>
  </si>
  <si>
    <t>Profiling reports, data discovery summaries, column statistics, null-rate summaries, and pattern/frequency outputs. Logs or run records showing which data assets were profiled and when.</t>
  </si>
  <si>
    <t>Document Identification</t>
  </si>
  <si>
    <t>The documents that are needed to support the capability have been identified.</t>
  </si>
  <si>
    <t>Does the SMA manage the document and content information assets that support this capability?</t>
  </si>
  <si>
    <t>Has the SMA identified the documents that are needed to support the capability business processes?</t>
  </si>
  <si>
    <t>Supports complete documentation and knowledge</t>
  </si>
  <si>
    <t>Create an inventory of the business, technical, policy, and operational documents needed to support the capability and map each document to its purpose. Trace one business scenario to verify the inventory includes source documents, governing documents, and operational reference material.</t>
  </si>
  <si>
    <t>Document inventory, records catalog, repository listing, or content register with document title, owner, location, and purpose. Process maps or requirements packages that reference the required documents.</t>
  </si>
  <si>
    <t>Information Identification</t>
  </si>
  <si>
    <t>The associated concepts that are needed to support the capability  has been identified.</t>
  </si>
  <si>
    <t>Does the SMA manage the data architecture and models for the information assets that support this capability?</t>
  </si>
  <si>
    <t>Has the SMA identified the key data concepts that are needed to support the target capability business processes?</t>
  </si>
  <si>
    <t>Ensures that all necessary information is available to fulfill capability requirements.</t>
  </si>
  <si>
    <t>List the business concepts, entities, events, and decisions the capability depends on and define how each concept is used. Compare the concept list to process steps, reports, and interfaces to verify the needed information has been identified.</t>
  </si>
  <si>
    <t>Concept list, information inventory, business requirements, process models, and report specifications naming the required concepts. Workshop outputs or glossary drafts showing concept descriptions and business context.</t>
  </si>
  <si>
    <t>Master Data Modeling</t>
  </si>
  <si>
    <t>Master data approach (e.g. Master Data Rules) have been identified and implemented for the associated data.</t>
  </si>
  <si>
    <t>Does the SMA manage the master data that is needed to support this capability?</t>
  </si>
  <si>
    <t xml:space="preserve">Has the SMA </t>
  </si>
  <si>
    <t>Ensures consistent definition, management, and use of master data entities.</t>
  </si>
  <si>
    <t>Identify which entities for the capability require master data treatment and document the matching, survivorship, and stewardship rules proposed for them. Test the approach against one high-value entity such as member or provider to verify the rules are specific enough to support implementation.</t>
  </si>
  <si>
    <t>Master data rule set, entity definition sheets, conceptual model, and design notes showing candidate golden-record rules. Working session outputs or implementation notes showing the chosen master data approach by entity.</t>
  </si>
  <si>
    <t>Master Data Source Identification</t>
  </si>
  <si>
    <t>Master data sources, producers and consumers have been identified for the associated data.</t>
  </si>
  <si>
    <t>Has the SMA identified the impacted data sources and producers for the Master Data needed to support the target capability business processes?</t>
  </si>
  <si>
    <t>Supports effective master data management and integration.</t>
  </si>
  <si>
    <t>List the systems and organizations that create, update, consume, and steward each master data entity used by the capability. Trace one entity lifecycle from creation through downstream use to verify producers and consumers are fully identified.</t>
  </si>
  <si>
    <t>System-of-record register, source-to-consumer matrix, interface inventory, and entity stewardship assignments. Architecture diagrams or process flows showing producer, consumer, and master source relationships.</t>
  </si>
  <si>
    <t>Measure Identification</t>
  </si>
  <si>
    <t xml:space="preserve">All measures and metrics needed to support reporting on the capability have been identified. </t>
  </si>
  <si>
    <t>Does the SMA provide business intelligence to support his capability?</t>
  </si>
  <si>
    <t>Has the SMA identified the measures and metrics that are needed to support reporting for the capability business processes?</t>
  </si>
  <si>
    <t>Ensures all relevant metrics are tracked for effective performance management.</t>
  </si>
  <si>
    <t>List the measures and metrics needed to operate and report on the capability, including numerator, denominator, timing, and audience. Compare the measure list to mandated reports and management dashboards to verify all required measures are captured.</t>
  </si>
  <si>
    <t>Measure inventory, reporting requirements, dashboard catalog, program KPIs, and report request log. Artifacts should show measure name, purpose, business owner, and intended use.</t>
  </si>
  <si>
    <t>Reference Data Identification</t>
  </si>
  <si>
    <t xml:space="preserve">The reference data included in the data asset has been defined and documented. </t>
  </si>
  <si>
    <t>Does the SMA manage the reference data that is needed to support this capability?</t>
  </si>
  <si>
    <t>Has the SMA identified the reference data that are needed to support the capability business processes?</t>
  </si>
  <si>
    <t>Supports data consistency and effective use of reference data across systems.</t>
  </si>
  <si>
    <t>Identify the code sets, lookup values, and controlled lists used in the capability and link each one to the data elements that use it. Sample key transactions or reports to verify all required reference values have been documented, including externally mandated code sets.</t>
  </si>
  <si>
    <t>Reference data inventory, code-set register, data element inventory, and interface specifications showing referenced values. Screenshots or configuration exports identifying active lookup tables and controlled lists.</t>
  </si>
  <si>
    <t>Report Identification</t>
  </si>
  <si>
    <t xml:space="preserve">All reports that are needed to support the capability have been identified. </t>
  </si>
  <si>
    <t>Has the SMA identified the reports that are needed to be produced to support the capability business processes?</t>
  </si>
  <si>
    <t>Guarantees reporting requirements are understood and supported by the data.</t>
  </si>
  <si>
    <t>Compile the operational, regulatory, analytic, and management reports that support the capability and record audience, cadence, and purpose. Compare the report list to program obligations and stakeholder requests to verify no required output is omitted.</t>
  </si>
  <si>
    <t>Report inventory, publication schedule, report request log, and compliance reporting list. Report catalog entries or portal listings showing report name, owner, and distribution group.</t>
  </si>
  <si>
    <t>Term &amp; Acronym Identification</t>
  </si>
  <si>
    <t>The associated business terms and acronyms have been defined.</t>
  </si>
  <si>
    <t>Has the SMA defined the key business terms and acronyms that are used to support the capability business processes?</t>
  </si>
  <si>
    <t>Reduces ambiguity and ensures common understanding of key terms across the enterprise.</t>
  </si>
  <si>
    <t>List the business terms and acronyms used in the capability and capture the plain-language meaning for each. Review sample policies, reports, and interfaces to verify the commonly used terms are represented in the glossary.</t>
  </si>
  <si>
    <t>Business glossary draft, acronym list, report annotations, and requirements documents showing defined terms. Workshop notes or steward sign-off indicating business agreement on the listed terms.</t>
  </si>
  <si>
    <t>Content Taxonomy Identification</t>
  </si>
  <si>
    <t xml:space="preserve">A content taxonomy structure has been developed to organize the content needed to support the capability. </t>
  </si>
  <si>
    <t>Has the SMA developed a content taxonomy for organizing and storing content and document images to support the capability business processes?</t>
  </si>
  <si>
    <t>Enables consistent organization, discovery, and management of content across the enterprise.</t>
  </si>
  <si>
    <t>Define the top-level categories, labels, and navigation structure needed to organize content that supports the capability. Test the draft taxonomy on a sample set of documents or content objects to verify items can be placed consistently.</t>
  </si>
  <si>
    <t>Taxonomy outline, content inventory with categories, repository folder map, or metadata tag list. Sample classification results showing how content was organized under the proposed structure.</t>
  </si>
  <si>
    <t>Data Definition Development</t>
  </si>
  <si>
    <t xml:space="preserve">All data stored in the associated data assets (e.g. Data Files, Database) have been defined and documented.  </t>
  </si>
  <si>
    <t>Does the SMA manage the metadata for the information assets that support this capability?</t>
  </si>
  <si>
    <t>Has the SMA created detrailed data dictionaries to support the capability business processes?</t>
  </si>
  <si>
    <t>Ensures clear understanding and consistent use of data across the organization.</t>
  </si>
  <si>
    <t>Catalog known data assets</t>
  </si>
  <si>
    <t>Verify critical tables, files, and fields have business definitions, technical definitions, allowable values, and usage notes documented in a standard format. Trace sample data elements from a source system to the shared definition repository to verify the definitions are complete and governed.</t>
  </si>
  <si>
    <t>Data dictionary, metadata repository, schema documentation, and element definition templates under formal version control. Published standards or modeling conventions showing the required definition fields and approval history.</t>
  </si>
  <si>
    <t>Data Dictionary / Data Catalog</t>
  </si>
  <si>
    <t>Data Lineage Development</t>
  </si>
  <si>
    <t>The lineage, including data transformations,  of the associated data assets have been documented and tracked.</t>
  </si>
  <si>
    <t>Has the SMA documented the lineage of the data assets that are used to support the capability business processes?</t>
  </si>
  <si>
    <t>Supports traceability, impact analysis, and data governance efforts.</t>
  </si>
  <si>
    <t>Trace selected high-value data elements from point of capture through transformation, storage, and reporting to verify documented lineage includes handoffs and business rules. Compare documented lineage to actual ETL jobs, API mappings, or batch flows to verify transformations are captured.</t>
  </si>
  <si>
    <t>Lineage diagrams, source-to-target mappings, ETL specifications, integration workflows, and transformation rule documents. Repository history or change records showing lineage is maintained when interfaces change.</t>
  </si>
  <si>
    <t>Data Security Classifications</t>
  </si>
  <si>
    <t>Data security and privacy classifications have been applied to all associated data</t>
  </si>
  <si>
    <t>Does the SMA manage the privacy and security of the information assets that support this capability?</t>
  </si>
  <si>
    <t>Has the SMA identified and applied security and privacy classifications to the data assets that are used to support the capabuility business processes?</t>
  </si>
  <si>
    <t>Protects sensitive information and ensures compliance with privacy regulations.</t>
  </si>
  <si>
    <t>Sample data elements and records across the capability to verify each has an assigned security or privacy classification aligned to agency policy. Compare classifications in metadata and system configuration to verify the labels are applied consistently across sources and exchanges.</t>
  </si>
  <si>
    <t>Data classification policy, metadata fields for classification, system configuration extracts, and field-level classification register. Security architecture documents or handling standards showing approved classification categories and usage rules.</t>
  </si>
  <si>
    <t>Data Validation Rule Definition</t>
  </si>
  <si>
    <t>Data validation rules have been defined and implemented for the associated data.</t>
  </si>
  <si>
    <t>Has the SMA defined and implemented data validation rules for the data assets that are used to support the capability business processes?</t>
  </si>
  <si>
    <t>Ensures that the SMA is validating that data is fit for use as it is collected/created.</t>
  </si>
  <si>
    <t>Inspect business and technical rules for required fields, valid values, cross-field logic, and reject conditions to verify validation is defined for the associated data. Test a sample of inbound or user-entered records against the documented rules to verify the rule set is implementable and complete.</t>
  </si>
  <si>
    <t>Validation rule catalog, edit specification, interface rules, screen design rules, and batch reject criteria. Change-controlled implementation specs or test cases linking rules to data elements.</t>
  </si>
  <si>
    <t>Enterprise Data Reference Model Identification</t>
  </si>
  <si>
    <t>Enterprise data reference models (MITA DRM, Conceptual, Logical)  have been identified.</t>
  </si>
  <si>
    <t>Has the SMA identified and/or developed enterprise data reference models to support the capability business processes?</t>
  </si>
  <si>
    <t>Establishes a foundation for consistent data definitions and interoperability.</t>
  </si>
  <si>
    <t>Identify which enterprise conceptual or logical reference models apply to the capability and map the supported business entities to those models. Review solution design materials to verify the selected reference models are the stated basis for design and interoperability.</t>
  </si>
  <si>
    <t>Enterprise conceptual/logical data model, MITA DRM references, modeling standards, and capability-to-model mapping. Architecture decision records or design standards citing the approved reference models.</t>
  </si>
  <si>
    <t>Measure Definition</t>
  </si>
  <si>
    <t xml:space="preserve">All measure specifications that are included in the reports have been defined, mapped to the corresponding data elements  and are under formal control by the SMA. </t>
  </si>
  <si>
    <t xml:space="preserve">Has the SMA developed detailed measure specifications for all measures that are needed to support the reports used for the capability business processes? </t>
  </si>
  <si>
    <t>Ensures measures are consistent, reliable, and traceable to source data.</t>
  </si>
  <si>
    <t>Verify each report measure has a controlled specification defining business meaning, calculation logic, source elements, timing, and exceptions. Trace sample measures from report layout back to mapped data elements to verify the specification supports repeatable production.</t>
  </si>
  <si>
    <t>Measure specification sheets, calculation logic documents, report mapping workbook, and controlled metric catalog. Approval records or version history showing the SMA formally manages measure definitions.</t>
  </si>
  <si>
    <t>Report Definition</t>
  </si>
  <si>
    <t xml:space="preserve">All reports that are needed to support the business have been defined, published and accessible to authorized stakeholders. </t>
  </si>
  <si>
    <t>Has the SMA defined and published the reports that are used for the capability business processes?</t>
  </si>
  <si>
    <t>Ensures reporting needs are met and information is readily available for decision-making.</t>
  </si>
  <si>
    <t>Verify each required report has a defined purpose, audience, layout, schedule, and access path documented in a standard report specification. Sample stakeholder groups to verify authorized users can locate the published report definitions and understand when and how the reports are produced.</t>
  </si>
  <si>
    <t>Report specifications, report catalog, publication calendar, access control list, and distribution procedures. Published portal entries or repository records showing current report versions available to authorized stakeholders.</t>
  </si>
  <si>
    <t>Structure Data Standards Identification</t>
  </si>
  <si>
    <t xml:space="preserve">All required structural data standards have been identified and aligned to associated data structures. </t>
  </si>
  <si>
    <t>Has the SMA defined and aligned the structural data standards that are needed to support the capability business processes?</t>
  </si>
  <si>
    <t>Ensures data structures are consistent and interoperable across systems and processes.</t>
  </si>
  <si>
    <t>Identify the structural standards that govern data exchanges or stores for the capability, such as file layouts, schemas, message structures, or canonical models. Compare current interfaces and databases to the standards list to verify each relevant structure has an identified governing standard.</t>
  </si>
  <si>
    <t>Schema library, file layout standards, canonical model documentation, implementation guides, and interface standards register. Mapping inventory showing which structures align to which approved standard.</t>
  </si>
  <si>
    <t>Vocabulary Data Standard Identification</t>
  </si>
  <si>
    <t>All required vocabulary/reference data standards have been identified and aligned to associated reference data.</t>
  </si>
  <si>
    <t>Has the SMA defined and aligned the vocabulary/reference data standards that are needed to support the capabilkity business processes?</t>
  </si>
  <si>
    <t>Promotes standardization and interoperability by using common terminology and code sets.</t>
  </si>
  <si>
    <t>Identify the required vocabulary and reference standards for the capability, such as code sets, value domains, or external classifications, and map them to the associated data. Compare selected data elements to applicable standards to verify the required vocabulary alignment has been documented.</t>
  </si>
  <si>
    <t>Vocabulary standards register, reference data catalog, element-to-code-set mapping, and implementation guidance. External standard references and internal mapping sheets showing approved vocabulary usage.</t>
  </si>
  <si>
    <t>Analytical Data Storage</t>
  </si>
  <si>
    <t xml:space="preserve">The associated data is accessible to authorized stakeholders to easily support historical/analycal purposes. </t>
  </si>
  <si>
    <t>Does the SMA manage the storage and warehousing of the information assets that support this capability?</t>
  </si>
  <si>
    <t>Has the SMA made historical data available to authorized stakeholders to support required data analysis for the capability business processes?</t>
  </si>
  <si>
    <t>Supports business intelligence, reporting, and decision-making activities.</t>
  </si>
  <si>
    <t>Verify authorized analysts can access historical data for the capability in a store designed for trend, comparative, or longitudinal analysis. Test a sample analytic question requiring multiple periods or snapshots to verify the storage environment supports historical analysis without reconstructing data manually.</t>
  </si>
  <si>
    <t>Warehouse or mart inventory, historical retention design, analytic access roles, and sample analytic query outputs. Architecture diagrams or data platform documentation showing time-variant storage for the capability.</t>
  </si>
  <si>
    <t>Application Alignment</t>
  </si>
  <si>
    <t>The associated data have been mapped to the applications that access it.</t>
  </si>
  <si>
    <t>Has the SMA aligned and documented the relationship from the data assets to the applications that support the capability business processes?</t>
  </si>
  <si>
    <t>Enables effective management and integration of data across applications.</t>
  </si>
  <si>
    <t>Map the associated data entities and elements to the applications that create, update, consume, or display them, and verify the mapping covers both primary and downstream systems. Trace one high-value data element across the application portfolio to verify every application touchpoint is represented.</t>
  </si>
  <si>
    <t>Application-to-data matrix, system interface diagrams, CRUD matrix, and portfolio inventory. Mapping sheets or architecture records showing which applications use each critical data set.</t>
  </si>
  <si>
    <t>Business Process Alignment</t>
  </si>
  <si>
    <t xml:space="preserve">The associated data has been mapped to the business processes that access it. </t>
  </si>
  <si>
    <t>Has the SMA aligned and documented the relationship from the data assets to the business processes for the capability?</t>
  </si>
  <si>
    <t>Ensures data supports business operations effectively and aligns with process requirements.</t>
  </si>
  <si>
    <t>Map the associated data to the business processes, tasks, or decisions that create or use it, and verify the mapping includes upstream and downstream steps. Walk one end-to-end process with business staff to verify the data-process alignment reflects actual operations.</t>
  </si>
  <si>
    <t>Business process models, BPMN diagrams, procedure documents, and process-to-data mapping matrix. Traceability artifacts linking process steps, decisions, and associated data elements.</t>
  </si>
  <si>
    <t>Content Taxonomy Definition</t>
  </si>
  <si>
    <t xml:space="preserve">Content needed to support the capability have been aligned to the content taxonomy structure. </t>
  </si>
  <si>
    <t>Has the SMA aligned the content used to support the capability business processes to the content taxonomy?</t>
  </si>
  <si>
    <t>Ensures all content is categorized systematically, improving findability and alignment with taxonomy.</t>
  </si>
  <si>
    <t>Classify a representative sample of content supporting the capability using the approved taxonomy and measure whether different reviewers assign the same categories. Verify search, browsing, or filing rules use the taxonomy consistently across repositories or content types.</t>
  </si>
  <si>
    <t>Approved taxonomy, classification rules, tagged content samples, and repository metadata configuration. Results from a pilot classification exercise showing consistent use of taxonomy terms.</t>
  </si>
  <si>
    <t>Data Governance Role Identification</t>
  </si>
  <si>
    <t>Data governance roles (e.g. Data owners, custodians) have NOT been defined to support the information assets that support this capability.</t>
  </si>
  <si>
    <t>Data Governance Roles</t>
  </si>
  <si>
    <t>Identify the governance roles needed for the capability, such as owner, steward, custodian, and approver, and describe what decisions each role should make. Compare the role list to key data decisions and issue types to verify no required governance function is unassigned at the model level.</t>
  </si>
  <si>
    <t>Governance role model, RACI draft, charter materials, and operating model documents defining role types. Workshop records showing the proposed roles for data ownership, stewardship, and control.</t>
  </si>
  <si>
    <t>Data Impact Analysis</t>
  </si>
  <si>
    <t>The potential impacts and consequences on the SMA should certain events occur which jeapordize the confidentiality, integrity or availability of the associated data have been identified and is tracked.</t>
  </si>
  <si>
    <t>Has the SMA performed a data impact analysis on the data assets that are needed to support the capability business processes?</t>
  </si>
  <si>
    <t>Enables risk management and mitigation planning for data assets.</t>
  </si>
  <si>
    <t>Document confidentiality, integrity, and availability events that could affect the capability and identify likely business, compliance, and operational impacts for each. Trace a recent incident or scenario analysis to verify impacts are being recorded and tracked for the associated data.</t>
  </si>
  <si>
    <t>Data impact analysis, business impact analysis, risk register, and incident scenario log. Risk tracking records showing affected data, consequence, likelihood, and mitigation owner.</t>
  </si>
  <si>
    <t>Data Governance Role Definition</t>
  </si>
  <si>
    <t>Data governance roles (e.g. Data owners, custodians) have been defined  to support the information assets that support this capability.</t>
  </si>
  <si>
    <t>Verify governance roles for the capability have written responsibilities, decision rights, and escalation paths documented in the governance model. Test a sample issue type such as data quality, access, or definition change to verify the documented role definitions indicate who decides and who acts.</t>
  </si>
  <si>
    <t>Approved RACI, data governance charter, role descriptions, and operating procedures. Governance artifacts showing documented responsibilities for owners, stewards, custodians, and oversight bodies.</t>
  </si>
  <si>
    <t>Data Performance Measure Definition</t>
  </si>
  <si>
    <t>Data performance measures and metrics (e.g. Data Quality, Data Accessibility) have been established to assess the performance of the associated data.</t>
  </si>
  <si>
    <t>Has the SMA established data performance measures (e.g. Data Quality Measures) for the data that supports the capability business processes?</t>
  </si>
  <si>
    <t>Provides a basis for monitoring, managing, and improving data quality and accessibility.</t>
  </si>
  <si>
    <t>Measurement</t>
  </si>
  <si>
    <t>Verify the SMA has defined specific data performance measures for the capability, such as completeness, timeliness, accessibility, or defect rate, with formulas and scope. Trace selected measures to the data assets and business objectives they are intended to assess to verify the metrics are actionable.</t>
  </si>
  <si>
    <t>Metric catalog, KPI definitions, data quality scorecard design, and measure specification sheets. Mapping documents linking performance measures to data assets, owners, and reporting uses.</t>
  </si>
  <si>
    <t>Data Governance Role Assignments</t>
  </si>
  <si>
    <t xml:space="preserve">Data governance roles (e.g. Data owners, custodians) have been assigned for all associated data. </t>
  </si>
  <si>
    <t>Has the SMA identifeid the data governance roles that are needed to support the data assets used for the capability business processes?</t>
  </si>
  <si>
    <t>Establishes accountability and stewardship for data management activities.</t>
  </si>
  <si>
    <t>Role</t>
  </si>
  <si>
    <t>Verify each critical data asset supporting the capability has named individuals assigned to the required governance roles. Sample recent issues, approvals, or definition changes to verify assigned owners and stewards are actively performing those roles.</t>
  </si>
  <si>
    <t>Role assignment roster, steward directory, approval workflow records, and issue logs with named assignees. Asset inventory entries showing owner and steward for each governed data set.</t>
  </si>
  <si>
    <t>Data Retention</t>
  </si>
  <si>
    <t>Data retention schedules for each data type have been defined.</t>
  </si>
  <si>
    <t>Has the SMA established data retention policies for the data needed to support the capability business processes?</t>
  </si>
  <si>
    <t>Retention policies meet regulatory guidance and minimum necessary guidelines</t>
  </si>
  <si>
    <t> </t>
  </si>
  <si>
    <t>Management</t>
  </si>
  <si>
    <t>Verify each data type used by the capability has a defined retention period, disposition trigger, and authoritative source for the rule. Test a sample set of data classes or records to verify retention requirements can be applied consistently across systems.</t>
  </si>
  <si>
    <t>Records retention schedule, data classification-to-retention mapping, and disposition procedures. System retention settings or records management configuration showing the schedule is operationalized.</t>
  </si>
  <si>
    <t>Data Management Policies</t>
  </si>
  <si>
    <t>Data Structure Standard Mapping</t>
  </si>
  <si>
    <t xml:space="preserve">Mapping specifications have been established for all data exchanges  to the associated structure data standard if the data exchange deviates from the defined data structure standard. </t>
  </si>
  <si>
    <t>Has the SMA established mapping specifications for all data exchanges to the structural standards that are needed to support the capability business processes?</t>
  </si>
  <si>
    <t>Ensures continued interoperability when data exchanges do not fully conform to standards.</t>
  </si>
  <si>
    <t>Verify interfaces that deviate from the approved structure standard have documented mapping specifications from source structure to target standard. Trace a sample nonconforming exchange field by field to verify the mapping resolves all structural differences and preserves meaning.</t>
  </si>
  <si>
    <t>Source-to-target mapping workbook, interface specification, transformation rules, and implementation guide. Exception register identifying exchanges that deviate from the approved structural standard.</t>
  </si>
  <si>
    <t>Document Text Conversion</t>
  </si>
  <si>
    <t>All documents are translated into machine-readable text and is accessible to authroized stakeholders</t>
  </si>
  <si>
    <t>Has the SMA translated and made available to all authorized stakeholders all documents used to support the capability business processes into machine-readable text?</t>
  </si>
  <si>
    <t>Increases accessibility and enables automated data processing and analysis.</t>
  </si>
  <si>
    <t>Verify required documents are converted into searchable, machine-readable text and can be retrieved by authorized users. Test a sample set of scanned or image-based documents to verify text extraction accuracy is sufficient for search and downstream use.</t>
  </si>
  <si>
    <t>OCR processing logs, repository metadata, search results, and access-controlled document samples with selectable text. Conversion standards or service reports showing coverage of document types in scope.</t>
  </si>
  <si>
    <t>Enterprise Data Model Alignment</t>
  </si>
  <si>
    <t xml:space="preserve">All data stored in the associated data stores align to enterprise data reference models and definitions. (e.g. Enterprise Conceptual Data Model/Logical Data Model) </t>
  </si>
  <si>
    <t>Has the SMA aligned the data assets used to support the capability business processes to enterprise data reference models and definitions?</t>
  </si>
  <si>
    <t>Promotes consistency, reuse, and clarity of data definitions across the enterprise.</t>
  </si>
  <si>
    <t>- Develop Enterprise Conceptual Data Model 
- Develop Enterprise Logical Data Model
- Map Current Data to Enterprise Conceptual Data Model
- Map Current Data to Enterprise Logical Data Model</t>
  </si>
  <si>
    <t>Map representative tables and attributes supporting the capability to the approved enterprise data model and identify any gaps or local extensions. Validate a sample of design artifacts to verify new or changed structures conform to enterprise definitions before implementation.</t>
  </si>
  <si>
    <t>Logical/physical data models, alignment matrix, design review records, and approved exception log. Data model repository entries showing conformance to enterprise entities and attributes.</t>
  </si>
  <si>
    <t>Mapping Specification</t>
  </si>
  <si>
    <t>Mastered Data</t>
  </si>
  <si>
    <t xml:space="preserve">There is a golden record established for all associated entities (e.g. Member, Provider) and the SMA can identify unique entities. </t>
  </si>
  <si>
    <t xml:space="preserve">Has the SMA established a mastered "golden record" for all entities (e.g. Member, Provider) that are included in the data assets that support the capability business processes? </t>
  </si>
  <si>
    <t>Provides a single, trusted source of truth for critical data entities.</t>
  </si>
  <si>
    <t>Verify key entities for the capability have a golden record with matching and survivorship rules applied across contributing sources. Test duplicate or conflicting records for one entity type to verify the SMA can resolve and uniquely identify the entity.</t>
  </si>
  <si>
    <t>Golden-record design, match/merge rules, survivorship rules, and master index reports. Entity resolution results, duplicate management logs, or stewardship screens showing unique entity identification.</t>
  </si>
  <si>
    <t>MITA Data Reference Model Alignment</t>
  </si>
  <si>
    <t xml:space="preserve">All data stored in the associated data stores align to the MITA 4.0 Data Reference Model. </t>
  </si>
  <si>
    <t>Has the SMA aligned the data assets used to support the capability business processes to MITA Data Reference Model?</t>
  </si>
  <si>
    <t xml:space="preserve">Enables the SMA to work with other SMA's and CMS to identify leverage, reuse and standardization opportunities. </t>
  </si>
  <si>
    <t>Standardization</t>
  </si>
  <si>
    <t>Map representative data structures supporting the capability to the MITA 4.0 Data Reference Model and document any approved gaps. Review solution designs or exchanges to verify MITA-aligned entities and relationships are being used in practice.</t>
  </si>
  <si>
    <t>MITA mapping matrix, architecture review records, design standards, and approved gap log. Model artifacts showing alignment of local data structures to MITA 4.0 concepts.</t>
  </si>
  <si>
    <t>Operational Data Storage</t>
  </si>
  <si>
    <t xml:space="preserve">The associated data is accessible to authroized stakeholders to easily support day-to-day operations. </t>
  </si>
  <si>
    <t>Has the SMA made the operational data accessessible for the authorized stakeholders that support the capability business processes?</t>
  </si>
  <si>
    <t>Ensures timely and reliable access to data for operational needs.</t>
  </si>
  <si>
    <t>Verify authorized operational users can retrieve current data needed for daily processing, casework, or service delivery without relying on ad hoc extracts. Test common day-to-day tasks to verify the storage environment provides timely and usable operational access.</t>
  </si>
  <si>
    <t>Operational datastore design, user role matrix, transaction screens, and query/report examples used in daily operations. Service documentation showing current-state access patterns for authorized staff.</t>
  </si>
  <si>
    <t>PHI / PII / Sensitive Data Identified</t>
  </si>
  <si>
    <t>he relevant business entities which contain Personally Identifiable Information (PII) or Protected Health Information (PHI) or other sensitive information have been identified.</t>
  </si>
  <si>
    <t>Has the SMA identifeid the PII and PHI that is contained within the data assets that support the capability business processes?</t>
  </si>
  <si>
    <t>PHI / PII and Sensitive data require additional security access controls and may require masking or obfuscation capability.</t>
  </si>
  <si>
    <t>Identify the business entities, records, and attributes within the capability that contain PHI, PII, or other sensitive data and verify the list covers structured and unstructured sources. Trace a sample process or report to verify sensitive data elements are flagged where they are collected, stored, and shared.</t>
  </si>
  <si>
    <t>Sensitive data inventory, data classification register, privacy impact analysis, and field-level metadata tags. Entity or attribute lists showing where PHI, PII, or other sensitive content is present.</t>
  </si>
  <si>
    <t>Reference Data Definition</t>
  </si>
  <si>
    <t xml:space="preserve">All associated reference data (e.g. Code Sets, Code Values) have been defined and aligned to their associated data elements. </t>
  </si>
  <si>
    <t>Has the SMA defined the reference data for each applicable data asset that supports the capability business processes?</t>
  </si>
  <si>
    <t>Ensures consistency and clarity in the use of reference data across systems.</t>
  </si>
  <si>
    <t>Verify each reference value set has an approved definition, business meaning, permissible values, and linkage to the data elements that use it. Sample a code set change or implementation to verify the definition is detailed enough for consistent use across systems.</t>
  </si>
  <si>
    <t>Reference data dictionary, code-set specifications, value-domain definitions, and element-to-reference mapping. Governance records or release notes showing controlled updates to reference values.</t>
  </si>
  <si>
    <t>Report Data Source Tracking</t>
  </si>
  <si>
    <t xml:space="preserve">The data needed to support each report has been identfiied and is being tracked by the SMA to identify data impacts on reporting. </t>
  </si>
  <si>
    <t>Has the SMA identified the specific data elements that are needed to support the reports for the capability business processes?</t>
  </si>
  <si>
    <t>Maintains report accuracy and integrity by linking reports to their data sources.</t>
  </si>
  <si>
    <t>Trace selected reports to the specific source systems, tables, files, or extracts that provide their data and verify dependencies are documented. Review a recent source change or incident to verify the SMA can identify which reports are affected.</t>
  </si>
  <si>
    <t>Report-to-source matrix, lineage documents, impact analysis records, and report production runbooks. Change tickets or incident records showing report impacts traced back to source data.</t>
  </si>
  <si>
    <t>Target Data Quality Measure Development</t>
  </si>
  <si>
    <t xml:space="preserve">The associated information has target data quality levels have been established. </t>
  </si>
  <si>
    <t>Has the SMA established target data quality levels for the data assets that support the capability business processes?</t>
  </si>
  <si>
    <t>Provides clear quality expectations to guide data management and improvement.</t>
  </si>
  <si>
    <t>Verify target thresholds have been set for the data quality measures relevant to the capability, such as acceptable completeness, timeliness, or accuracy rates. Compare targets to business risk and operational need to verify the thresholds are meaningful rather than arbitrary.</t>
  </si>
  <si>
    <t>Target threshold table, scorecard specification, service level targets, and quality rule documentation. Approval records showing business agreement on target quality levels for the associated information.</t>
  </si>
  <si>
    <t>Vocabulary Data Standard Crosswalks</t>
  </si>
  <si>
    <t xml:space="preserve">Crosswalks have been established for all reference code sets that deviate from the required vocabulary/reference data standards. </t>
  </si>
  <si>
    <t>Has the SMA established crosswalks for all reference code values that impact the capability business processes?</t>
  </si>
  <si>
    <t>Facilitates data integration and interoperability when standards differ.</t>
  </si>
  <si>
    <t>Verify crosswalks exist for local code sets or values that do not match the required vocabulary standard and that the mappings preserve business meaning. Test a sample translated record or exchange to verify the crosswalk yields the expected standard value.</t>
  </si>
  <si>
    <t>Code crosswalk tables, mapping rules, implementation guides, and exception logs for nonstandard vocabularies. Test cases or conversion results demonstrating standard value translation.</t>
  </si>
  <si>
    <t xml:space="preserve">A MITA maturity assessment has been performed to assess the enterprise business intelligence &amp; data science capability. </t>
  </si>
  <si>
    <t>Has the SMA performed an enterprise business intelligence maturity assessment and identified how it supports the capability business processes?</t>
  </si>
  <si>
    <t>Identifies gaps and opportunities in business intelligence and data science practices.</t>
  </si>
  <si>
    <t>Review the most recent maturity assessment for the referenced enterprise capability and verify it used defined criteria, scoring, and findings relevant to the SMA environment. Confirm the assessment results identify current-state strengths, gaps, and recommended actions rather than only assigning a score.</t>
  </si>
  <si>
    <t>Completed MITA maturity assessment, scoring workbook, assessor notes, and findings summary for the named capability. Evidence should show date, scope, scoring basis, and documented gaps.</t>
  </si>
  <si>
    <t xml:space="preserve">A MITA maturity assessment has been performed to assess the enterprise Data Architecture, Modeling &amp; Design capability. </t>
  </si>
  <si>
    <t>Has the SMA performed an enterprise data architecture, modeling and design maturity assessment and identified how it supports the capability business process?</t>
  </si>
  <si>
    <t>Identifies strengths and gaps in data architecture and modeling for improvement.</t>
  </si>
  <si>
    <t>Data Performance Baseline</t>
  </si>
  <si>
    <t xml:space="preserve">A baseline assessment has been performed to assess the current performance of the data based on the identified data performance measures. </t>
  </si>
  <si>
    <t>Has the SMA performed an assessment on the performance of the data (i.e. Data quality assessment) that supports the capability business processes?</t>
  </si>
  <si>
    <t>Establishes a reference point for measuring data performance improvements over time.</t>
  </si>
  <si>
    <t>Verify the SMA established a baseline for each defined data performance measure using a consistent measurement period and method. Compare baseline values to source scorecards or raw metric outputs to verify the starting point is reproducible and enterprise controlled.</t>
  </si>
  <si>
    <t>Baseline scorecard, metric calculation output, and dated baseline report for the associated data. Supporting measurement method and period definitions showing how the baseline was established.</t>
  </si>
  <si>
    <t>Data Performance Standards</t>
  </si>
  <si>
    <t xml:space="preserve">Data performance standards have been established for the identified data performance measures. </t>
  </si>
  <si>
    <t>Has the SMA established data performance standards for the data that supports the capability business processes?</t>
  </si>
  <si>
    <t>Sets clear expectations for data quality and performance across the organization.</t>
  </si>
  <si>
    <t>Verify formal performance standards exist for the defined data measures and that thresholds, owners, and escalation triggers are documented. Compare the standards to current operating needs and regulatory expectations to verify they are suitable for enterprise monitoring.</t>
  </si>
  <si>
    <t>Approved performance standards, scorecard threshold table, and governance-approved KPI definitions. Control documents showing target, tolerance, owner, and response trigger for each measure.</t>
  </si>
  <si>
    <t xml:space="preserve">A MITA maturity assessment has been performed to assess the enterprise data integration &amp; interoperability capability. </t>
  </si>
  <si>
    <t>Has the SMA performed an enterprise data integration and interoperability maturity assessment and identified how it supports the capability business processes?</t>
  </si>
  <si>
    <t>Identifies integration and interoperability strengths and areas needing improvement.</t>
  </si>
  <si>
    <t>Data Governance Performance Standards</t>
  </si>
  <si>
    <t xml:space="preserve">Data governance performance standards have been established for the information assets that support this capability. </t>
  </si>
  <si>
    <t>Data Governance Performance</t>
  </si>
  <si>
    <t>Verify formal standards exist for governance performance, such as stewardship participation, issue closure timeliness, or policy compliance, and that they are applied across the governed assets. Review governance operations to verify thresholds and corrective triggers are consistently used.</t>
  </si>
  <si>
    <t>Governance KPI standards, stewardship performance scorecard design, and operating procedures. Approved thresholds and escalation criteria showing how governance performance is controlled.</t>
  </si>
  <si>
    <t>Data Quality Assessments</t>
  </si>
  <si>
    <t xml:space="preserve">Data quality assessments are performed and reported to impacted data users and producers to regularly to monitor the quality of the data. </t>
  </si>
  <si>
    <t>Does the SMA perform regular data quality assessments on the data that supports the capability business processes using the predefined data performance measures and standards?</t>
  </si>
  <si>
    <t>Enables proactive identification and resolution of data quality issues, ensuring data reliability.</t>
  </si>
  <si>
    <t>Verify routine data quality assessments are run for the associated data using the defined measures and that results are shared with producers and users. Compare recent assessment results across periods to verify the SMA can monitor recurring issues and trends.</t>
  </si>
  <si>
    <t>Recurring data quality reports, scorecards, exception summaries, and distribution records to impacted stakeholders. Run schedules or monitoring logs showing regular execution of assessments.</t>
  </si>
  <si>
    <t xml:space="preserve">A MITA maturity assessment has been performed to assess the enterprise data quality capability. </t>
  </si>
  <si>
    <t>Has the SMA performed an enterprise data quality maturity assessment and identified how it supports the capability business processes?</t>
  </si>
  <si>
    <t>Provides an understanding of current data quality management practices and needs.</t>
  </si>
  <si>
    <t>A MITA maturity assessment has been performed to assess the enterprise data security &amp; privacy capability.</t>
  </si>
  <si>
    <t>Has the SMA performed an enterprise data security &amp; privacy maturity assessment and identified how it supports the capability business processes?</t>
  </si>
  <si>
    <t>Ensures data security and privacy practices are assessed and improved as needed.</t>
  </si>
  <si>
    <t>A MITA maturity assessment has been performed to assess the enterprise Data Storage &amp; Warehousing capability.</t>
  </si>
  <si>
    <t>Has the SMA performed an enterprise data storage &amp; warehousing maturity assessment and identified how it supports the capability business processes?</t>
  </si>
  <si>
    <t>Guides improvements in data storage and warehousing practices.</t>
  </si>
  <si>
    <t>A MITA maturity assessment has been performed to assess the enterprise document &amp; content management capability.</t>
  </si>
  <si>
    <t>Has the SMA performed an enterprise document and content management maturity assessment and identified how it supports the capability business processes?</t>
  </si>
  <si>
    <t>Identifies capability gaps and improvement opportunities for document management.</t>
  </si>
  <si>
    <t xml:space="preserve">A MITA maturity assessment has been performed to assess the enterprise master data management capability. </t>
  </si>
  <si>
    <t>Has the SMA performed an enterprise master data management maturity assessment and identified how it supports the capability business processes?</t>
  </si>
  <si>
    <t>Provides insight into master data management maturity and needs for advancement.</t>
  </si>
  <si>
    <t xml:space="preserve">A MITA maturity assessment has been performed to assess the enterprise metadata management capability. </t>
  </si>
  <si>
    <t>Has the SMA performed an enterprise metadata management maturity assessment and identified how it supports the capability business processes?</t>
  </si>
  <si>
    <t>Helps identify maturity level and areas for metadata management improvement.</t>
  </si>
  <si>
    <t xml:space="preserve">A MITA maturity assessment has been performed to assess the enterprise reference data management capability. </t>
  </si>
  <si>
    <t>Has the SMA performed an enterprise reference data management maturity assessment and identified how it supports the capability business processes?</t>
  </si>
  <si>
    <t>Assesses reference data management practices for alignment and improvement.</t>
  </si>
  <si>
    <t>Business Intelligence &amp; Data Science Maturity Improvement</t>
  </si>
  <si>
    <t xml:space="preserve">Improvement plans have been developed and implemented to address gaps in the SMA's business intelligence and data science maturity and the impacted data is aligned to the enterprise vision for improving business intelligece and data science. </t>
  </si>
  <si>
    <t>Does the SMA regularly identify and implement business intelligence and data science improvement plans based on maturity/performance gaps that improve business intelligence for the impacted capability business processes?</t>
  </si>
  <si>
    <t>Enhances data-driven decision making through targeted improvement in BI and data science practices.</t>
  </si>
  <si>
    <t>Compare the latest maturity assessment findings for the named capability to the active improvement backlog and verify each priority gap has a defined action, owner, and target date. Review completed actions and current performance results to verify assessment findings are being used to improve the capability rather than only recorded.</t>
  </si>
  <si>
    <t>Improvement roadmap, action plan, prioritized backlog, and status reports tied to assessment findings for the named capability. Before-and-after metrics, closure records, or implementation evidence showing progress from the assessed gaps.</t>
  </si>
  <si>
    <t>Data Architecture, Modeling &amp; Design Maturity Improvement</t>
  </si>
  <si>
    <t xml:space="preserve">Improvement plans have been developed and implemented to address gaps in the SMA's data architecture &amp; modeling maturity and the impacted data is aligned to the enterprise vision for improving data architecture and modeling. </t>
  </si>
  <si>
    <t>Does the SMA regularly identify and implement data architecture and modeling improvement plans based on maturity/performance gaps that improve data architecture and modeling for the impacted capability business processes?</t>
  </si>
  <si>
    <t>Enables robust, scalable, and well-integrated data systems through improved architecture and modeling.</t>
  </si>
  <si>
    <t>Data Evolution</t>
  </si>
  <si>
    <t>There are structured processes for handling changes to master data definitions or entities.</t>
  </si>
  <si>
    <t>Changes in data definition and availability are controlled and managed.</t>
  </si>
  <si>
    <t>Verify master data definition or entity changes follow a standard controlled process that includes review, approval, implementation, and communication steps. Trace a recent change from request through deployment to verify the enterprise process was used and impacts were tracked.</t>
  </si>
  <si>
    <t>Change control procedure, request and approval workflow, release records, and version history for master data definitions. Impact analysis or communication logs showing controlled rollout of changes.</t>
  </si>
  <si>
    <t>Data Integration &amp; Interoperability Maturity Improvement</t>
  </si>
  <si>
    <t xml:space="preserve">Improvement plans have been developed and implemented to address gaps in the SMA's data integration &amp; interoperability maturity and the impacted data is aligned to the enterprise vision for improving data integration &amp; Interoperability. </t>
  </si>
  <si>
    <t>Does the SMA regularly identify and implement data integration &amp; interoperability improvement plans based on maturity/performance gaps that improve data integration &amp; interoperability for the impacted capability business processes?</t>
  </si>
  <si>
    <t>Facilitates seamless data sharing and exchange across platforms and organizations.</t>
  </si>
  <si>
    <t>Data Governance Capability Assessment</t>
  </si>
  <si>
    <t>An assessment has been performed to assess the enterprise data governance capability.</t>
  </si>
  <si>
    <t>Has the SMA performed an enterprise data governance maturity assessment and identified how it supports the capability business processes?</t>
  </si>
  <si>
    <t>Identifies strengths and gaps in data governance for targeted improvement.</t>
  </si>
  <si>
    <t>Data Performance Assessment</t>
  </si>
  <si>
    <t>An assessment is performed regularly (e.g. Monthly) to assess the performance of the data using predefined data performance measures.</t>
  </si>
  <si>
    <t>Does the SMA perform regular data performance assessments on the data that supports the capability business processes using the predefined data performance measures and standards?</t>
  </si>
  <si>
    <t>Ensures ongoing monitoring and management of data performance to meet business needs.</t>
  </si>
  <si>
    <t>Verify the SMA performs recurring assessments of data performance using the predefined measures and a standard measurement cycle. Compare results across recent periods to verify performance is tracked, trends are visible, and follow-up actions can be triggered.</t>
  </si>
  <si>
    <t>Periodic performance scorecards, monitoring logs, and dated assessment reports using the approved measures. Trend reports or dashboard history showing repeated measurement over time.</t>
  </si>
  <si>
    <t>Data Governance Performance Assessment</t>
  </si>
  <si>
    <t>An assessment is performed regularly (e.g. Monthly) to assess the performance of the information assets that support this capability using predefined data governance performance measures.</t>
  </si>
  <si>
    <t>Verify the SMA performs recurring assessments of governance performance against the predefined governance measures for the assets supporting the capability. Review recent periods to verify results are tracked consistently and discussed through governance operations.</t>
  </si>
  <si>
    <t>Governance scorecards, meeting packets, assessment logs, and dated performance reports. Trend views or issue summaries showing recurring measurement against governance standards.</t>
  </si>
  <si>
    <t>Data Governance Maturity Improvement</t>
  </si>
  <si>
    <t xml:space="preserve">Improvement plans have been developed and implementation initiated to address gaps in the SMA's data governance maturity and the impacted data is aligned to the enterprise vision for improving data governance. </t>
  </si>
  <si>
    <t>Does the SMA regularly identify and implement data governance improvement plans based on maturity/performance gaps that improvedata governance for the impacted capability business processes?</t>
  </si>
  <si>
    <t>Ensures continuous advancement of data governance capabilities to support enterprise objectives.</t>
  </si>
  <si>
    <t>Data Governance Maturity</t>
  </si>
  <si>
    <t>Data Quality Improvement</t>
  </si>
  <si>
    <t xml:space="preserve">Data quality improvement plans are developed and implemented to address known data quality issues. </t>
  </si>
  <si>
    <t>Does the SMA regularly develop and implement improvement plans based on data quality assessment gaps that improve the quality of data that impact the capability business processes?</t>
  </si>
  <si>
    <t>Supports continuous improvement of data quality to meet business and regulatory needs.</t>
  </si>
  <si>
    <t>Trace significant quality issues from assessment results into corrective actions and verify root causes, owners, and deadlines are documented. Compare quality results before and after selected fixes to verify the improvement actions are reducing defects in practice.</t>
  </si>
  <si>
    <t>Quality improvement plan, issue remediation tracker, root-cause analysis, and implementation status reports. Metric trend reports showing measurable quality improvement after corrective actions.</t>
  </si>
  <si>
    <t>Data Quality Maturity Improvement</t>
  </si>
  <si>
    <t xml:space="preserve">Improvement plans have been developed and implementation initiated to address gaps in the SMA's data quality maturity and the impacted data is aligned to the enterprise vision for improving data quality. </t>
  </si>
  <si>
    <t>Does the SMA regularly identify and implement data quality management improvement plans based on maturity/performance gaps that improve data quality management for the impacted capability business processes?</t>
  </si>
  <si>
    <t>Drives consistent improvement of data quality aligned to enterprise goals and standards.</t>
  </si>
  <si>
    <t>Data Security &amp; Privacy Maturity Improvement</t>
  </si>
  <si>
    <t xml:space="preserve">Improvement plans have been developed and implemented to address gaps in the SMA's data security &amp; privacy maturity and the impacted data is aligned to the enterprise vision for improving data security &amp; privacy. </t>
  </si>
  <si>
    <t>Does the SMA regularly identify and implement data security &amp; privacy management improvement plans based on maturity/performance gaps that improve data security &amp; privacy management  for the impacted capability business processes?</t>
  </si>
  <si>
    <t>Strengthens protection of sensitive data and compliance with privacy regulations.</t>
  </si>
  <si>
    <t>Data Storage &amp; Warehousing Maturity Improvement</t>
  </si>
  <si>
    <t xml:space="preserve">Improvement plans have been developed and implemented to address gaps in the SMA's data storage and warehousing maturity and the impacted data is aligned to the enterprise vision for improving data storage and warehousing. </t>
  </si>
  <si>
    <t>Does the SMA regularly identify and implement data storage &amp; warehousing improvement plans based on maturity/performance gaps that improve data storage &amp; warehousing management  for the impacted capability business processes?</t>
  </si>
  <si>
    <t>Improves storage, accessibility, and management of data assets for business needs.</t>
  </si>
  <si>
    <t>Document &amp; Content Maturity Improvement</t>
  </si>
  <si>
    <t xml:space="preserve">Improvement plans have been developed and implemented to address gaps in the SMA's document &amp; content management maturity and the impacted data is aligned to the enterprise vision for improving document &amp; content. </t>
  </si>
  <si>
    <t>Does the SMA regularly identify and implement document &amp; content management improvement plans based on maturity/performance gaps that improve document &amp; content  management  for the impacted capability business processes?</t>
  </si>
  <si>
    <t>Ensures efficient, secure, and accessible management of documents and content.</t>
  </si>
  <si>
    <t>Master Data Management Maturity Improvement</t>
  </si>
  <si>
    <t xml:space="preserve">Improvement plans have been developed and implemented to address gaps in the SMA's master data management maturity and the impacted data is aligned to the enterprise vision for improving master data management. </t>
  </si>
  <si>
    <t>Does the SMA regularly identify and implement master data management improvement plans based on maturity/performance gaps that improve master data management  for the impacted capability business processes?</t>
  </si>
  <si>
    <t>Ensures trusted, consistent, and authoritative master data across the organization.</t>
  </si>
  <si>
    <t>Metadata Management Maturity Improvement</t>
  </si>
  <si>
    <t xml:space="preserve">Improvement plans have been developed and implemented to address gaps in the SMA's metadata management maturity and the impacted data is aligned to the enterprise vision for improving metadata. </t>
  </si>
  <si>
    <t>Does the SMA regularly identify and implement metadata management improvement plans based on maturity/performance gaps that improve metadata management  for the impacted capability business processes?</t>
  </si>
  <si>
    <t>Strengthens metadata management to improve data discoverability and usability.</t>
  </si>
  <si>
    <t>Reference Data Management Maturity Improvement</t>
  </si>
  <si>
    <t xml:space="preserve">Improvement plans have been developed and implemented to address gaps in the SMA's reference data management maturity and the impacted data is aligned to the enterprise vision for improving reference data. </t>
  </si>
  <si>
    <t>Does the SMA regularly identify and implement reference data management improvement plans based on maturity/performance gaps that improve reference data management  for the impacted capability business processes?</t>
  </si>
  <si>
    <t>Promotes standardization and effective management of reference data across systems.</t>
  </si>
  <si>
    <t>Data Management Capability Maturity Assessment</t>
  </si>
  <si>
    <t xml:space="preserve">All impacted data management capabilities have been assessed for maturity including gaps and improvement opportunities. </t>
  </si>
  <si>
    <t>Has the SMA perform an enterprise maturity assessment for all data management capabilities that impact the capability business processes?</t>
  </si>
  <si>
    <t>Enables comprehensive planning for data management capability improvement.</t>
  </si>
  <si>
    <t>Review the set of maturity assessments for impacted data management capabilities and verify each includes current-state scoring, gap statements, and prioritized improvement opportunities. Compare results across capabilities to verify the SMA can identify enterprise patterns and dependencies for improvement planning.</t>
  </si>
  <si>
    <t>Capability assessment package, maturity scorecards, consolidated gap summary, and prioritized recommendations across impacted capabilities. Portfolio-level summary showing assessed capabilities, gaps, and improvement opportunities.</t>
  </si>
  <si>
    <t>Data Performance Corrections</t>
  </si>
  <si>
    <t>Data performance improvement plans are developed to address gaps in data performance.</t>
  </si>
  <si>
    <t>Does the SMA regularly identify improvement plans based on data performance assessment gaps that improve the performance of data that impact the capability business processes?</t>
  </si>
  <si>
    <t>Drives systematic resolution of data performance issues to achieve desired standards.</t>
  </si>
  <si>
    <t>Trace performance gaps from monitoring results into corrective plans and verify each plan identifies the measure affected, root cause, action, owner, and due date. Compare post-correction results to the prior baseline or failed period to verify the corrective action improved performance.</t>
  </si>
  <si>
    <t>Corrective action plan, performance issue log, root-cause analysis, and remediation tracker tied to specific measures. Before-and-after scorecards showing whether the correction improved the affected indicator.</t>
  </si>
  <si>
    <t>Data Performance Gap Analysis</t>
  </si>
  <si>
    <t>A gap analysis is regularly performed to assess the gaps between the target performance standards and the identified performance indicators.</t>
  </si>
  <si>
    <t>Does the SMA regularly perform a gap analysis between the baseline and target data performance standards established for the data for the impacted capability business processes?</t>
  </si>
  <si>
    <t>Identifies areas where data performance falls short, guiding targeted improvement efforts.</t>
  </si>
  <si>
    <t>Verify the SMA regularly compares actual performance results to target standards and documents the size and cause of each material gap. Review successive gap analyses to verify recurring gaps are trended and used to reprioritize improvement work.</t>
  </si>
  <si>
    <t>Gap analysis reports, target-versus-actual scorecards, trend summaries, and action prioritization records. Meeting materials or decision logs showing how gap findings drove follow-up actions.</t>
  </si>
  <si>
    <t xml:space="preserve">Data Performance Improvement </t>
  </si>
  <si>
    <t xml:space="preserve">Data performance improvement plans have been implemented and has resulted in improvements in the data performance. </t>
  </si>
  <si>
    <t>Does the SMA regularly implement improvement plans based on data performance assessment gaps that improve the performance of data that impact the capability business processes?</t>
  </si>
  <si>
    <t>Demonstrates effective action and value in closing data performance gaps.</t>
  </si>
  <si>
    <t>Review implemented performance improvement actions and verify they are tied to prior assessment or gap-analysis findings for the affected data. Compare recent performance trends to pre-improvement results to verify the implemented actions produced sustained improvement.</t>
  </si>
  <si>
    <t>Implemented improvement plan, status reports, closure evidence, and updated operating procedures tied to the affected measures. Trend reports or dashboards showing measurable performance improvement after implementation.</t>
  </si>
  <si>
    <t>- Each Information asset has data quality rules used to validate and assess the quality of the data have been identified and documented
- Each Information asset has data quality measures used  to assess the quality of the data have been identified and documented</t>
  </si>
  <si>
    <t>- Data Rule Catalog
- Measure Catalog</t>
  </si>
  <si>
    <t xml:space="preserve">Data quality rules have been implemented for the information assets, is applied as the information as it moves across the enterprise, and results produced and made available to key stakeholders. </t>
  </si>
  <si>
    <t>- Data quality rules have been implemented and is being used to validate that the information assets needed for this capability meets SMA expectations
- Data quality assessments have been performed to assess the quality of the information assets needed to support this capability and baseline quality scores known
- Target data quality scores, standards and thresholds are established that define the desired data quality scores for the target information assets needed to support this capability.</t>
  </si>
  <si>
    <t>- Data Quality Report
- Measure Catalog</t>
  </si>
  <si>
    <t xml:space="preserve">SMA has established and applied to the impacted assets Enterprise Data Quality:
- Outcomes &amp; Metrics
- Processes &amp; procedures
- Policies &amp; Standards
- Metadata requirements
- Technology
SMA performs regular SS-A assessments for Data Quality
</t>
  </si>
  <si>
    <t>-Data Quality Process Diagram
-Data Quality Standard Operating Procedure
-Data Quality Standard Documentation
-Data Quality Metadata Requirements
-Data Quality MITA Scorecard</t>
  </si>
  <si>
    <t>- Data Security and Privacy Requirements</t>
  </si>
  <si>
    <t>- Physical Data Dictionary</t>
  </si>
  <si>
    <t>Report Catalog
- Measure Catalog
- Measure Specification
- Descriptive Analytics Results</t>
  </si>
  <si>
    <t xml:space="preserve">Measure standards have been established and implemented. The SMA performs diagnostic analytics to uncover the root-cause of events through examination of historical data to understand why things happened to inform decision-making for the capability. </t>
  </si>
  <si>
    <t>-- Measure Standard
- Example Measure Calculation
- Prescriptive Analytics Results</t>
  </si>
  <si>
    <t>- All reports that support this capability are tracked to the data elements used to create the report in the central metadata repository
- All measures that support this capability are tracked to the data elements used to calculate the report in the central metadata repository
- Descriptive analytics performed to support the capability</t>
  </si>
  <si>
    <t>The measures and the analysis performed to support the capability adhere to enterprise business intelligence processes, procedures, standards, metadata and technology and are regularly assessed to improve the quality of the measures and analysis. The SMA performs prescriptive analytics  to define actions that will affect outcomes, rather than just predicting the outcomes from actions that have occurred  to inform decision-making for the capability.</t>
  </si>
  <si>
    <t>-SMA has established and applied to the impacted assets Enterprise Business Intelligence &amp; Data Science:
      - Outcomes &amp; Metrics
      - Processes &amp; procedures
       - Policies &amp; Standards
      - Metadata requirements
       - Technology
-SMA performs regular SS-A assessments for Business Intelligence &amp; Data Science
- Descriptive analytics performed to support the capability</t>
  </si>
  <si>
    <t>- Data Catalog
- Data Flow Model</t>
  </si>
  <si>
    <t>- Baseline structure data standards have been established for each information asset used to exchange information for this capability
- Target structure data standards have been established for each information asset needed to exchange information for this capability</t>
  </si>
  <si>
    <t>- Data Catalog
- Data Standard Documentation</t>
  </si>
  <si>
    <t xml:space="preserve">Detailed documentation about how data moves across the enterprise, including detailed transformation logic, has been documented, is traced to the applicable information assets maintained in a central metadata repository that is accessible to stakeholders to search, discover and identify impacts of data exchange modifications. </t>
  </si>
  <si>
    <t>- Each information asset used for exchange includes a source to target mapping that shows how data is transformed to integrate the information asset
- SMA can track how data moves and is transformed throughout the life of the information assets used to support this capability (e.g. Creation, Storage. etc.)
- All data mappings,  transformations and lineage for the information assets that impact the capability are tracked in a central metadata repository</t>
  </si>
  <si>
    <t xml:space="preserve">SMA has established and applied to the impacted assets Enterprise Data Integration and Interoperability:
- Outcomes &amp; Metrics
- Processes &amp; procedures
- Policies &amp; Standards
- Metadata requirements
- Technology
SMA performs regular SS-A assessments for Data Integration and Interoperability
</t>
  </si>
  <si>
    <t>-Data Integration and Interoperability Process Diagram
-Data Integration and Interoperability Standard Operating Procedure
-Data Integration and Interoperability Standard Documentation
-Data Integration and Interoperability Metadata Requirements
-Data Integration and Interoperability MITA Scorecard</t>
  </si>
  <si>
    <t>- Report Catalog
- Measure Catalog
- Measure Specification</t>
  </si>
  <si>
    <t xml:space="preserve">Reports and measure standards have been established and implemented and are delivered to key stakeholders to support this capability. </t>
  </si>
  <si>
    <t>- Measure Standard
- Example Report
- Example Measure Calculation</t>
  </si>
  <si>
    <t xml:space="preserve">Detailed measure specifications and report definitions have been documented and are tracked to the impacted information used to produce the measure and report in a central metadata repository. </t>
  </si>
  <si>
    <t>- All reports that support this capability are tracked to the data elements used to create the report in the central metadata repository
- All measures that support this capability are tracked to the data elements used to calculate the report in the central metadata repository</t>
  </si>
  <si>
    <t xml:space="preserve">SMA has established and applied to the impacted assets Enterprise Business Intelligence:
- Outcomes &amp; Metrics
- Processes &amp; procedures
- Policies &amp; Standards
- Metadata requirements
- Technology
SMA performs regular SS-A assessments for Business Intelligence
</t>
  </si>
  <si>
    <t>-Business Intelligence Process Diagram
-Business Intelligence Standard Operating Procedure
-Business Intelligence Standard Documentation
-Business Intelligence Metadata Requirements
-Business Intelligence MITA Scorecard</t>
  </si>
  <si>
    <t xml:space="preserve">- Unstructured data used to support this capability have been identified
- Some of the documents used to support this capability are paper-based and have not been converted to machine-readable content. </t>
  </si>
  <si>
    <t>All documents that are produced and/or used to support this capability are converted to machine-readable content and the content adheres to enterprise unstructured data standards</t>
  </si>
  <si>
    <t>- All paper-based documents have been converted to machine readable content
- Enterprise established unstructured data standards</t>
  </si>
  <si>
    <t xml:space="preserve">The unstructured data that supports this capability adheres to enterprise unstructured data standards and is organized, controlled and categorized so that it can be stored, published, discovered and easily accessed by stakeholders. </t>
  </si>
  <si>
    <t>- Unstructured data is categorized
- Unstructured data is searchable
- Unstructured data is available to stakeholders with the authority to access it</t>
  </si>
  <si>
    <t xml:space="preserve">SMA has established and applied to the impacted assets Enterprise Document and Content Management:
- Outcomes &amp; Metrics
- Processes &amp; procedures
- Policies &amp; Standards
- Metadata requirements
- Technology
SMA performs regular SS-A assessments for Document and Content Management
</t>
  </si>
  <si>
    <t>-Document and Content Management Process Diagram
-Document and Content Management Standard Operating Procedure
-Document and Content Management Standard Documentation
-Document and Content Management Metadata Requirements
-Document and Content Management MITA Scorecard</t>
  </si>
  <si>
    <t>Some metadata for the information assets are defined and stored locally.</t>
  </si>
  <si>
    <t>- SMA has established data governance roles such as Data Owner, Data Steward, Data Custodian
- SMA has assigned individuals to the data governance roles responsible for the information assets that support this capability
- Business terms and acronyms that are used to support this capability have been identified and documented.</t>
  </si>
  <si>
    <t>- Data Catalog (with assignments)
- Business Glossary</t>
  </si>
  <si>
    <t xml:space="preserve">- Vacancy rate for the data governance roles that are assigned to support the information assets for this capability is low
- Participation rate of the individuals assigned to the row is high 
- Individuals assigned to support the information asset participate in data governance meetings, review and approval of business terms and acronyms, information asset changes, etc. </t>
  </si>
  <si>
    <t>- Information Asset Assignment Vacancy Rate
- Information Asset Assignment Participation Rate
- Average Information Asset Approval Time (Time it takes to approve information asset changes)</t>
  </si>
  <si>
    <t xml:space="preserve">The business terms, acronyms and information asset data governance role assignments are stored in a central metadata repository  and is accessible to stakeholders to search and discover the information assets that are governed by the SMA. </t>
  </si>
  <si>
    <t>- Data governance roles assignments and Business glossary maintained in central metadata repository
- Business glossary terms mapped to other key metadata in central metadata repository
- Key stakeholders have access to the business glossary in central metadata repository
- Key stakeholders can search and find business glossary terms and definitions
- Key stakeholders can search and find individuals assigned to data governance roles for the information assets for this capability in the central metadata repository</t>
  </si>
  <si>
    <t xml:space="preserve">SMA has established and applied to the impacted assets Enterprise Data Governance:
- Outcomes &amp; Metrics
- Processes &amp; procedures
- Policies &amp; Standards
- Metadata requirements
- Technology
SMA performs regular SS-A assessments for data governance
</t>
  </si>
  <si>
    <t>No or few information assets that support this capability have detailed design  documentation.</t>
  </si>
  <si>
    <t>Each information asset needed to support this capability includes detailed design documentation.</t>
  </si>
  <si>
    <t xml:space="preserve">- SMA has Physical Data Models for all information assets
-SMA has data dictionaries for all information assets
-SMA has Matrix linking processes to information
-SMA has Matrix linking applications to Applications
</t>
  </si>
  <si>
    <t>-Physical Data Model
- Physical Data Dictionary
- Process to Data Matrix
- Application to Data Matrix</t>
  </si>
  <si>
    <t xml:space="preserve">Enterprise Information Reference Models including target data definitions that are needed to support the capability have been identified and aligned to the detailed data definitions and/or models for each information asset. </t>
  </si>
  <si>
    <t xml:space="preserve">-SMA established Enterprise Conceptual Data Model
-SMA established Enterprise Logical Data Model and Data Dictionary
-SMA mapped concepts from Enterprise Conceptual Data Model to Physical Data Dictionary
-SMA mapped attributes from Enterprise Logical Data Model to Physical Data Dictionary
</t>
  </si>
  <si>
    <t xml:space="preserve">-Enterprise Conceptual Data Model
-Enterprise Logical Data Model
-Physical Data Dictionary 
</t>
  </si>
  <si>
    <t>Mappings of Enterprise Information Reference Models to physical data design documentation are maintained in a central enterprise metadata repository that is accessible to stakeholders to search, discover and identify impacts of data design modifications.</t>
  </si>
  <si>
    <t xml:space="preserve">SMA has established and applied to the impacted assets Enterprise Data Architecture, Modeling &amp; Design:
- Outcomes &amp; Metrics
- Processes &amp; procedures
- Policies &amp; Standards
- Metadata requirements
- Technology
SMA performs regular SS-A assessments for data architecture, modeling &amp; design
</t>
  </si>
  <si>
    <t>-Data Architecture, Modeling &amp; Design Process Diagram
-Data Architecture, Modeling &amp; Design Standard Operating Procedure
-Data Architecture, Modeling &amp; Design Standard Documentation
-Data Architecture, Modeling &amp; Design Metadata Requirements
-Data Architecture, Modeling &amp; Design MITA Scorecard</t>
  </si>
  <si>
    <t xml:space="preserve">The reference data that is used to support this capability has been identified and documented, and aligned to the corresponding data elements. </t>
  </si>
  <si>
    <t>- The reference data sets used in the information assets that support this capability have been documented.
- The reference data values for each reference data set that support this capability have been documented.
- The crosswalk of common reference data values across reference data sets used for data transformation have been documented
- The reference data sets are aligned to the corresponding data elements in the physical data dictionaries and/or reports and measures</t>
  </si>
  <si>
    <t>- Reference Data Catalog</t>
  </si>
  <si>
    <t xml:space="preserve">Target reference data standards that meet the business needs have been identified,  adopted and implemented.  </t>
  </si>
  <si>
    <t>- Reference Data Standard has been adopted
- Reference data values in existing information assets use the reference data values identified in the reference data standard
- Reference data values are mapped from existing reference data values to reference data values in the adopted data standard</t>
  </si>
  <si>
    <t>- Data Standard Document
- Reference Data Catalog
- Reference Data Crosswalk</t>
  </si>
  <si>
    <t>Reference data adheres to reference data metadata standards and is traced to the applicable data elements in the data dictionary in a central metadata repository that is accessible to stakeholders to search, discover and identify the impact of reference data modifications.</t>
  </si>
  <si>
    <t>- Reference data adheres to reference data metadata standards including effective start and end dates for all reference data sets, values and crosswalk
- Reference data is traced to the applicable data elements in the data dictionary
- Reference data is stored in a central metadata repository</t>
  </si>
  <si>
    <t xml:space="preserve">SMA has established and applied to the impacted assets Enterprise Reference Data Management:
- Outcomes &amp; Metrics
- Processes &amp; procedures
- Policies &amp; Standards
- Metadata requirements
- Technology
SMA performs regular SS-A assessments for Reference Data Management
</t>
  </si>
  <si>
    <t>-Reference Data Management Process Diagram
-Reference Data Management Standard Operating Procedure
-Reference Data Management Standard Documentation
-Reference Data Management Metadata Requirements
-Reference Data Management MITA Scorecard</t>
  </si>
  <si>
    <t xml:space="preserve">Information assets used to support this capability do not use or contribute to Master Data. </t>
  </si>
  <si>
    <t xml:space="preserve">Master data rules have been developed to ensure that the entities represented in the information assets are unique. </t>
  </si>
  <si>
    <t>- Data Rule Catalog</t>
  </si>
  <si>
    <t xml:space="preserve">Master data rules have been harmonized across the enterprise for common data and  implemented within the information assets that support this capability. Entities represented in the information asset are  unique entities that do not have duplicate records within the SMA.  </t>
  </si>
  <si>
    <t>- MDM Match Report</t>
  </si>
  <si>
    <t>Master data rules are traced to the related information asset in a central metadata repository that is accessible to stakeholders to search, discover and identify the impact of master data rule modifications.</t>
  </si>
  <si>
    <t>- Master data is traced to the applicable data elements in the data dictionary
- Master data rules are stored in a central metadata repository</t>
  </si>
  <si>
    <t xml:space="preserve">SMA has established and applied to the impacted assets Enterprise Master Data Management:
- Outcomes &amp; Metrics
- Processes &amp; procedures
- Policies &amp; Standards
- Metadata requirements
- Technology
SMA performs regular SS-A assessments for Master Data Management
</t>
  </si>
  <si>
    <t>-Master Data Management Process Diagram
-Master Data Management Standard Operating Procedure
-Master Data Management Standard Documentation
-Master Data Management Metadata Requirements
-Master Data Management MITA Scorecard</t>
  </si>
  <si>
    <t>The databases and data stores accessed to support the capability have been defined and documented</t>
  </si>
  <si>
    <t>Data Catalog</t>
  </si>
  <si>
    <t>- The information asset used for this capability are not stored in multiple locations across the enterprise</t>
  </si>
  <si>
    <t xml:space="preserve">The information assets have defined policies for data retention and access that define how long the information must be retained and the roles that have access to the information. The metadata about data storage and policies are stored  in a central metadata repository that is accessible to stakeholders to search, discover and identify impacts of data storage modifications.  </t>
  </si>
  <si>
    <t xml:space="preserve"> - The information asset have defined and implemented data retention policies
- The information asset have defined and implemented access policies</t>
  </si>
  <si>
    <t>The information assets used to support this capability adhere to enterprise data storage &amp; warehousing outcomes, business processes, role, metadata and technology and are regularly assessed to improve the quality of the information asset</t>
  </si>
  <si>
    <t xml:space="preserve">SMA has established and applied to the impacted assets Enterprise Data Storage &amp; Warehousing:
- Outcomes &amp; Metrics
- Processes &amp; procedures
- Policies &amp; Standards
- Metadata requirements
- Technology
SMA performs regular SS-A assessments for Data Storage &amp; Warehousing
</t>
  </si>
  <si>
    <t>-Data Storage &amp; Warehousing Process Diagram
-Data Storage &amp; Warehousing Standard Operating Procedure
-Data Storage &amp; Warehousing Standard Documentation
-Data Storage &amp; Warehousing Metadata Requirements
-Data Storage &amp; Warehousing MITA Scorecard</t>
  </si>
  <si>
    <t xml:space="preserve">The measure specifications, statistical models and other information assets are traced to the reports that use them in the central metadata repository. The SMA performs predictive analytics  to predict future outcomes through the evaluation of probability estimates to inform decision-making for the capability. </t>
  </si>
  <si>
    <t>- Metadata Repository Screenshots
- Metamodel
- Metadata Repository Operating Model
- Report/Measure Metadata Repository Change Workflow
- Example Predictive analytical model
- Predictive Analytics Results</t>
  </si>
  <si>
    <t>-Business Intelligence &amp; Data Science Process Diagram
-Business Intelligence &amp; Data Science Standard Operating Procedure
-Business Intelligence &amp; Data Science Standard Documentation
-Business Intelligence &amp; Data Science Metadata Requirements
-Business Intelligence &amp; Data Science MITA Scorecard
- Prescribe Analytics Model
- Prescribe Analytics Results</t>
  </si>
  <si>
    <t>- Each exchange of information that supports the capability has been identified
- The information asset(e.g. File, Data Set, etc.) used in each exchange has been identified and documented</t>
  </si>
  <si>
    <t xml:space="preserve">- Reports that are used or produced to support this capability have been identified and documented
- Measures/Metrics that are used or produced to support this capability have been identified and documented
- Details about the data elements used to generate the reports have been identified and documented
- Details about how the measure is calculated including the data elements used have been identified and documented. </t>
  </si>
  <si>
    <t>- Measure standards have been identified and documented
- Reports are generated and provided to stakeholders to support the capability
- Measures align to measure standards and are calculated and provided to stakeholders to support this capability</t>
  </si>
  <si>
    <t xml:space="preserve">- Metadata Repository Screenshots
- Metamodel
- Metadata Repository Operating Model
- Report/Measure Metadata Repository Change Workflow
</t>
  </si>
  <si>
    <t xml:space="preserve">The unstructured data, documents and content, that is used to support this capability have not been identified and documented. </t>
  </si>
  <si>
    <t>The unstructured data, documents and content, that is used to support this capability have been identified and documented. Some documents exist that have not been converted to machine-readable and searchable content.</t>
  </si>
  <si>
    <t xml:space="preserve">Metadata for the information asset adhere to enterprise standards for metadata, Ingestion of Metadata is automatic to the fullest extent possible, stored in a central repository, and is perceived and used as a strategic enterprise asset.  </t>
  </si>
  <si>
    <t xml:space="preserve">Data governance roles and responsibilities for the information asset have been identified and assigned to individuals to fulfill them, and key business terms and acronyms used to support the capability have been identified and documented. </t>
  </si>
  <si>
    <t xml:space="preserve">The SMA monitors assignment of individuals assigned to govern the  information assets to ensure minimal vacancy, and the assigned individuals actively participate in data the governance of the information assets. </t>
  </si>
  <si>
    <t>- Metadata Repository Screenshots
- Metamodel
- Metadata Repository Operating Model</t>
  </si>
  <si>
    <t xml:space="preserve">- Enterprise Conceptual, Logical Data Model and data dictionary maintained in central metadata repository
- Physical Data Dictionary maintained in central metadata repository
-Changes to data dictionary trigger notifications to be sent to impacted stakeholders automatically
</t>
  </si>
  <si>
    <t xml:space="preserve">- Metadata Repository Screenshots
- Metamodel
- Metadata Repository Operating Model
- Data design Metadata Repository Change Workflow
</t>
  </si>
  <si>
    <t>The design of the information asset adheres to Enterprise Data Architecture &amp; Modeling outcomes,  processes, procedures, standards, metadata and technology and are regularly assessed to improve the quality of the unstructured data.</t>
  </si>
  <si>
    <t xml:space="preserve">Little or no reference data that is used to support the information asset for this capability has-been identified and documented, including all code sets and code values. </t>
  </si>
  <si>
    <t xml:space="preserve">- Metadata Repository Screenshots
- Metamodel
- Metadata Repository Operating Model
- Reference Data Metadata Repository Change Workflow
</t>
  </si>
  <si>
    <t xml:space="preserve">The reference data used to support the information asset adheres to Enterprise Reference Data outcomes,  processes, procedures, standards, metadata and technology and are regularly assessed for opportunities to improve the management of reference data for the  information asset. </t>
  </si>
  <si>
    <t>- Data matching rules have been developed that define how to match the entities identified in the information asset to the master record
- Data survivorship (merge/link) rules have been developed that define how to merge and or link specific attributes about an entity identified in the information asset to create the master record</t>
  </si>
  <si>
    <t>- Information asset is transactional and uses master data to uniquely identify the entity that is the subject of the transaction; or Information asset contributes to the definition of master data and is matched and integrated into the master data record
- SMA has a defined "Master Data Record" established for key entities that is stored centrally and available to stakeholders with the authority to access it
- SMA continuously monitors the match rate for the information assets and makes modifications to master data rules as needed</t>
  </si>
  <si>
    <t xml:space="preserve">The master  data used to support the information asset adheres to Enterprise Master Management outcomes,  processes, procedures, standards, metadata and technology and are regularly assessed for opportunities to improve the management of master data for the  information asset. </t>
  </si>
  <si>
    <t>- Data Retention Policy
- Data Access Policy
- Metadata Repository Screenshots
- Metamodel
- Metadata Repository Operating Model
- Data Storage Metadata Repository Change Workflow</t>
  </si>
  <si>
    <t>Criteria Sequence</t>
  </si>
  <si>
    <t>- Each information asset that impacts T-MSIS reporting has been identified and documented
- Data quality rules for the T-MSIS impacted information assets have been aligned to the corresponding T-MSIS rules
- Data quality measures for the T-MSIS impacted information assets have been aligned to the corresponding T-MSIS measures
- Data quality reports for the information assets that support the capability are generated on a regular bases
- All data quality rules and measures for the information assets that support this capability are stored in the central metadata repository</t>
  </si>
  <si>
    <t xml:space="preserve">- Data Rule Catalog
- Data Quality Report
- Metadata Repository Screenshots
- Metamodel
- Metadata Repository Operating Model
- Data quality Metadata Repository Change Workflow
</t>
  </si>
  <si>
    <t xml:space="preserve">- Metadata Repository Screenshots
- Metamodel
- Metadata Repository Operating Model
- Data Classification Metadata Repository Change Workflow
</t>
  </si>
  <si>
    <t>Information is used sporadically and in response to specific, immediate queries to support decision-making to support this capability.</t>
  </si>
  <si>
    <t xml:space="preserve">The measures and  information assets needed to produce the  reports for this  capability have been identified and documented. The type of  data analytics performed to support  the capability primarily focuses on descriptive analytics to understand what happened in the past to inform decision-making for the capability.  </t>
  </si>
  <si>
    <t>- Measures specifications that are used or produced to support this capability have been identified and documented
- Details about the data elements used to generate the reports have been identified and documented
- Details about how the measure is calculated including the data elements used have been identified and documented. 
- Basic Descriptive analytics (count, mean, average) performed to support the capability</t>
  </si>
  <si>
    <t>- Measure standards have been identified and documented
- Measures align to measure standards and are calculated and provided to stakeholders to support this capability
-Diagnostic analytics performed to support the capability</t>
  </si>
  <si>
    <t>-Data Governance Process Diagram
-Data Governance Standard Operating Procedure
-Data Governance Standard Documentation
-Data Governance Metadata Requirements
-Data Governance MITA Scorecard</t>
  </si>
  <si>
    <t xml:space="preserve">Data security, sensitivity and privacy requirements have been documented for the information asset. </t>
  </si>
  <si>
    <t xml:space="preserve">- Data security, sensitivity and privacy  requirements have been documented for the information asset. </t>
  </si>
  <si>
    <t>- Datasecurity, sensitivity and privacy  classifications have been defined and applied to the  data elements and data sets within the information assets that support this capability</t>
  </si>
  <si>
    <t xml:space="preserve">Data security, sensitivity and privacy classifications have been defined and applied to the information assets. </t>
  </si>
  <si>
    <t xml:space="preserve">Data security, sensitivity and privacy  classifications are tracked to the impacted policies, standards and information assets  in a central metadata repository that is accessible to stakeholders to search, discover and identify impacts of data security, sensitivity and privacy  classification modifications. </t>
  </si>
  <si>
    <t>- All data elements that support this capability have a privacy/sensitivity/security classification assigned in the central metadata repository
-  All data sets that support this capability have a privacy/sensitivity/security classification assigned in the central metadata repository</t>
  </si>
  <si>
    <t xml:space="preserve">SMA has established and applied to the impacted assets Enterprise Data security, sensitivity &amp; privacy:
- Outcomes &amp; Metrics
- Processes &amp; procedures
- Policies &amp; Standards
- Metadata requirements
- Technology
SMA performs regular SS-A assessments for Data security, sensitvity &amp; privacy
</t>
  </si>
  <si>
    <t xml:space="preserve">Data security, sensitivity and privacy classifications adhere to Enterprise data security &amp; privacy outcomes, processes, procedures, standards, metadata and technology and are regularly assessed for opportunities to improve the sensitivity, privacy and security of the information asset. </t>
  </si>
  <si>
    <t>-Data security, sensitvity &amp; privacy Process Diagram
-Data security, sensitvity &amp; privacy Standard Operating Procedure
-Data security, sensitvity &amp; privacy Standard Documentation
-Data security, sensitvity &amp; privacy Metadata Requirements
-Data security, sensitvity &amp; privacy MITA Scorecard</t>
  </si>
  <si>
    <t>-Document and Content Management Standard Documentation</t>
  </si>
  <si>
    <t>- Data Lineage Diagram
- Map Specification
- Metadata Repository Screenshots
- Metamodel
- Metadata Repository Operating Model
- Data exchange Metadata Repository Change Workflow</t>
  </si>
  <si>
    <t>-Document and Content Management Standard Documentation
-Document and Content Management Metadata Requirements</t>
  </si>
  <si>
    <t xml:space="preserve">-Document and Content Management Process Diagram
-Document and Content Management Standard Operating Procedure
-Document and Content Management Standard Documentation
-Document and Content Management Metadata Requirements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</si>
</sst>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Aptos Narrow"/>
      <family val="2"/>
      <scheme val="minor"/>
    </font>
    <font>
      <sz val="12"/>
      <name val="Aptos Narrow"/>
      <scheme val="minor"/>
    </font>
    <font>
      <b/>
      <sz val="12"/>
      <color theme="1"/>
      <name val="Aptos Narrow"/>
      <scheme val="minor"/>
    </font>
    <font>
      <b/>
      <sz val="12"/>
      <color theme="1"/>
      <name val="Aptos Narrow"/>
      <family val="2"/>
      <scheme val="minor"/>
    </font>
    <font>
      <b/>
      <sz val="12"/>
      <name val="Aptos Narrow"/>
      <family val="2"/>
      <scheme val="minor"/>
    </font>
    <font>
      <sz val="12"/>
      <name val="Aptos Narrow"/>
      <family val="2"/>
      <scheme val="minor"/>
    </font>
    <font>
      <sz val="12"/>
      <color theme="0"/>
      <name val="Aptos Narrow"/>
      <scheme val="minor"/>
    </font>
    <font>
      <sz val="12"/>
      <color theme="1"/>
      <name val="Segoe UI"/>
      <family val="2"/>
    </font>
    <font>
      <sz val="12"/>
      <color rgb="FF000000"/>
      <name val="Segoe UI"/>
      <family val="2"/>
    </font>
    <font>
      <sz val="12"/>
      <color rgb="FF000000"/>
      <name val="Aptos Narrow"/>
      <family val="2"/>
    </font>
    <font>
      <b/>
      <sz val="12"/>
      <color rgb="FF000000"/>
      <name val="Aptos Narrow"/>
      <family val="2"/>
    </font>
    <font>
      <sz val="12"/>
      <color theme="1"/>
      <name val="Aptos Narrow"/>
      <scheme val="minor"/>
    </font>
    <font>
      <b/>
      <sz val="12"/>
      <color rgb="FF000000"/>
      <name val="Aptos Narrow"/>
      <scheme val="minor"/>
    </font>
    <font>
      <sz val="12"/>
      <color rgb="FF000000"/>
      <name val="Aptos Narrow"/>
      <scheme val="minor"/>
    </font>
    <font>
      <sz val="12"/>
      <color rgb="FF000000"/>
      <name val="Aptos Narrow"/>
      <family val="2"/>
      <scheme val="minor"/>
    </font>
    <font>
      <sz val="10"/>
      <name val="Aptos Narrow"/>
      <family val="2"/>
      <scheme val="minor"/>
    </font>
    <font>
      <sz val="11"/>
      <color rgb="FF000000"/>
      <name val="Aptos Narrow"/>
      <family val="2"/>
    </font>
    <font>
      <b/>
      <sz val="12"/>
      <color theme="0"/>
      <name val="Aptos Narrow"/>
      <family val="2"/>
      <scheme val="minor"/>
    </font>
    <font>
      <sz val="10"/>
      <color theme="1"/>
      <name val="Arial"/>
      <family val="2"/>
    </font>
    <font>
      <b/>
      <sz val="12"/>
      <color theme="0"/>
      <name val="Arial"/>
      <family val="2"/>
    </font>
    <font>
      <sz val="10"/>
      <color rgb="FF000000"/>
      <name val="Arial"/>
      <family val="2"/>
    </font>
    <font>
      <b/>
      <i/>
      <sz val="12"/>
      <color theme="1"/>
      <name val="Aptos Narrow"/>
      <scheme val="minor"/>
    </font>
    <font>
      <i/>
      <sz val="12"/>
      <color theme="1"/>
      <name val="Aptos Narrow"/>
      <scheme val="minor"/>
    </font>
    <font>
      <b/>
      <i/>
      <sz val="12"/>
      <color theme="0"/>
      <name val="Aptos Narrow"/>
      <scheme val="minor"/>
    </font>
    <font>
      <i/>
      <sz val="12"/>
      <color rgb="FF000000"/>
      <name val="Aptos Narrow"/>
      <scheme val="minor"/>
    </font>
    <font>
      <strike/>
      <sz val="12"/>
      <color rgb="FF000000"/>
      <name val="Aptos Narrow"/>
      <scheme val="minor"/>
    </font>
    <font>
      <b/>
      <strike/>
      <sz val="12"/>
      <color theme="1"/>
      <name val="Aptos Narrow"/>
      <scheme val="minor"/>
    </font>
    <font>
      <i/>
      <strike/>
      <sz val="12"/>
      <color theme="1"/>
      <name val="Aptos Narrow"/>
      <scheme val="minor"/>
    </font>
    <font>
      <i/>
      <strike/>
      <sz val="12"/>
      <color rgb="FF000000"/>
      <name val="Aptos Narrow"/>
      <scheme val="minor"/>
    </font>
    <font>
      <strike/>
      <sz val="12"/>
      <color theme="1"/>
      <name val="Aptos Narrow"/>
      <scheme val="minor"/>
    </font>
    <font>
      <strike/>
      <sz val="12"/>
      <color theme="1"/>
      <name val="Aptos Narrow"/>
      <family val="2"/>
      <scheme val="minor"/>
    </font>
  </fonts>
  <fills count="1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D9D9D9"/>
        <bgColor rgb="FFD9D9D9"/>
      </patternFill>
    </fill>
    <fill>
      <patternFill patternType="solid">
        <fgColor theme="5" tint="0.59999389629810485"/>
        <bgColor indexed="64"/>
      </patternFill>
    </fill>
    <fill>
      <patternFill patternType="solid">
        <fgColor rgb="FFDAF2D0"/>
        <bgColor rgb="FFDAF2D0"/>
      </patternFill>
    </fill>
    <fill>
      <patternFill patternType="solid">
        <fgColor theme="1"/>
        <bgColor theme="1"/>
      </patternFill>
    </fill>
    <fill>
      <patternFill patternType="solid">
        <fgColor theme="0" tint="-0.14999847407452621"/>
        <bgColor theme="0" tint="-0.14999847407452621"/>
      </patternFill>
    </fill>
    <fill>
      <patternFill patternType="solid">
        <fgColor theme="4" tint="-0.499984740745262"/>
        <bgColor indexed="64"/>
      </patternFill>
    </fill>
    <fill>
      <patternFill patternType="solid">
        <fgColor theme="3" tint="9.9978637043366805E-2"/>
        <bgColor theme="1"/>
      </patternFill>
    </fill>
    <fill>
      <patternFill patternType="solid">
        <fgColor theme="3" tint="9.9978637043366805E-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249977111117893"/>
        <bgColor theme="1"/>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theme="1"/>
      </left>
      <right style="thin">
        <color theme="1"/>
      </right>
      <top style="thin">
        <color theme="1"/>
      </top>
      <bottom style="thin">
        <color theme="1"/>
      </bottom>
      <diagonal/>
    </border>
    <border>
      <left style="thin">
        <color rgb="FF000000"/>
      </left>
      <right style="thin">
        <color indexed="64"/>
      </right>
      <top style="thin">
        <color rgb="FF000000"/>
      </top>
      <bottom style="thin">
        <color indexed="64"/>
      </bottom>
      <diagonal/>
    </border>
    <border>
      <left style="thin">
        <color rgb="FF000000"/>
      </left>
      <right/>
      <top style="thin">
        <color rgb="FF000000"/>
      </top>
      <bottom/>
      <diagonal/>
    </border>
    <border>
      <left style="thin">
        <color theme="1"/>
      </left>
      <right style="thin">
        <color indexed="64"/>
      </right>
      <top style="thin">
        <color rgb="FF000000"/>
      </top>
      <bottom style="thin">
        <color indexed="64"/>
      </bottom>
      <diagonal/>
    </border>
    <border>
      <left/>
      <right/>
      <top style="thin">
        <color rgb="FF000000"/>
      </top>
      <bottom/>
      <diagonal/>
    </border>
    <border>
      <left/>
      <right/>
      <top/>
      <bottom style="thin">
        <color indexed="64"/>
      </bottom>
      <diagonal/>
    </border>
    <border>
      <left/>
      <right style="thin">
        <color theme="1"/>
      </right>
      <top style="medium">
        <color theme="1"/>
      </top>
      <bottom style="medium">
        <color theme="1"/>
      </bottom>
      <diagonal/>
    </border>
    <border>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indexed="64"/>
      </right>
      <top style="thin">
        <color rgb="FF000000"/>
      </top>
      <bottom/>
      <diagonal/>
    </border>
    <border>
      <left style="thin">
        <color indexed="64"/>
      </left>
      <right style="thin">
        <color indexed="64"/>
      </right>
      <top/>
      <bottom style="thin">
        <color rgb="FF000000"/>
      </bottom>
      <diagonal/>
    </border>
    <border>
      <left style="thin">
        <color theme="1"/>
      </left>
      <right/>
      <top style="thin">
        <color theme="1"/>
      </top>
      <bottom style="thin">
        <color theme="1"/>
      </bottom>
      <diagonal/>
    </border>
    <border>
      <left style="thin">
        <color theme="1"/>
      </left>
      <right/>
      <top style="thin">
        <color theme="1"/>
      </top>
      <bottom style="medium">
        <color theme="1"/>
      </bottom>
      <diagonal/>
    </border>
    <border>
      <left style="thin">
        <color theme="1"/>
      </left>
      <right style="thin">
        <color theme="1"/>
      </right>
      <top style="thin">
        <color theme="1"/>
      </top>
      <bottom/>
      <diagonal/>
    </border>
    <border>
      <left/>
      <right style="thin">
        <color theme="1"/>
      </right>
      <top style="thin">
        <color theme="1"/>
      </top>
      <bottom style="medium">
        <color theme="1"/>
      </bottom>
      <diagonal/>
    </border>
    <border>
      <left/>
      <right style="thin">
        <color theme="1"/>
      </right>
      <top/>
      <bottom style="medium">
        <color theme="1"/>
      </bottom>
      <diagonal/>
    </border>
    <border>
      <left style="thin">
        <color theme="1"/>
      </left>
      <right style="thin">
        <color theme="1"/>
      </right>
      <top/>
      <bottom style="medium">
        <color theme="1"/>
      </bottom>
      <diagonal/>
    </border>
  </borders>
  <cellStyleXfs count="1">
    <xf numFmtId="0" fontId="0" fillId="0" borderId="0"/>
  </cellStyleXfs>
  <cellXfs count="127">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xf numFmtId="0" fontId="6" fillId="0" borderId="0" xfId="0" applyFont="1" applyAlignment="1">
      <alignment wrapText="1"/>
    </xf>
    <xf numFmtId="0" fontId="8" fillId="3" borderId="1" xfId="0" applyFont="1" applyFill="1" applyBorder="1" applyAlignment="1">
      <alignment wrapText="1"/>
    </xf>
    <xf numFmtId="0" fontId="9" fillId="3" borderId="1" xfId="0" applyFont="1" applyFill="1" applyBorder="1" applyAlignment="1">
      <alignment wrapText="1"/>
    </xf>
    <xf numFmtId="0" fontId="0" fillId="2" borderId="0" xfId="0" applyFill="1" applyAlignment="1">
      <alignment horizontal="left" vertical="top"/>
    </xf>
    <xf numFmtId="0" fontId="3" fillId="2" borderId="0" xfId="0" applyFont="1" applyFill="1" applyAlignment="1">
      <alignment horizontal="left" vertical="top" wrapText="1"/>
    </xf>
    <xf numFmtId="0" fontId="9" fillId="4" borderId="1" xfId="0" applyFont="1" applyFill="1" applyBorder="1" applyAlignment="1">
      <alignment wrapText="1"/>
    </xf>
    <xf numFmtId="0" fontId="9" fillId="0" borderId="1" xfId="0" applyFont="1" applyBorder="1" applyAlignment="1">
      <alignment wrapText="1"/>
    </xf>
    <xf numFmtId="0" fontId="9" fillId="3" borderId="0" xfId="0" applyFont="1" applyFill="1"/>
    <xf numFmtId="0" fontId="0" fillId="0" borderId="1" xfId="0" applyBorder="1" applyAlignment="1">
      <alignment horizontal="left" vertical="top"/>
    </xf>
    <xf numFmtId="0" fontId="10" fillId="3" borderId="0" xfId="0" applyFont="1" applyFill="1" applyAlignment="1">
      <alignment wrapText="1"/>
    </xf>
    <xf numFmtId="0" fontId="3" fillId="0" borderId="1" xfId="0" applyFont="1" applyBorder="1" applyAlignment="1">
      <alignment horizontal="left" vertical="top" wrapText="1"/>
    </xf>
    <xf numFmtId="0" fontId="9" fillId="0" borderId="0" xfId="0" applyFont="1" applyAlignment="1">
      <alignment wrapText="1"/>
    </xf>
    <xf numFmtId="0" fontId="0" fillId="0" borderId="1" xfId="0" applyBorder="1" applyAlignment="1">
      <alignment horizontal="left" vertical="top" wrapText="1"/>
    </xf>
    <xf numFmtId="0" fontId="9" fillId="4" borderId="0" xfId="0" applyFont="1" applyFill="1" applyAlignment="1">
      <alignment wrapText="1"/>
    </xf>
    <xf numFmtId="0" fontId="9" fillId="3" borderId="0" xfId="0" applyFont="1" applyFill="1" applyAlignment="1">
      <alignment wrapText="1"/>
    </xf>
    <xf numFmtId="0" fontId="8" fillId="3" borderId="0" xfId="0" applyFont="1" applyFill="1" applyAlignment="1">
      <alignment wrapText="1"/>
    </xf>
    <xf numFmtId="0" fontId="0" fillId="2" borderId="1" xfId="0" applyFill="1" applyBorder="1" applyAlignment="1">
      <alignment vertical="center" wrapText="1"/>
    </xf>
    <xf numFmtId="0" fontId="7" fillId="2" borderId="1" xfId="0" applyFont="1" applyFill="1" applyBorder="1" applyAlignment="1">
      <alignment vertical="center" wrapText="1"/>
    </xf>
    <xf numFmtId="0" fontId="0" fillId="0" borderId="1" xfId="0" quotePrefix="1" applyBorder="1" applyAlignment="1">
      <alignment horizontal="left" vertical="top" wrapText="1"/>
    </xf>
    <xf numFmtId="0" fontId="2" fillId="5" borderId="0" xfId="0" applyFont="1" applyFill="1" applyAlignment="1">
      <alignment horizontal="left" vertical="top" wrapText="1"/>
    </xf>
    <xf numFmtId="0" fontId="3" fillId="0" borderId="4" xfId="0" applyFont="1" applyBorder="1" applyAlignment="1">
      <alignment wrapText="1"/>
    </xf>
    <xf numFmtId="0" fontId="13" fillId="0" borderId="3" xfId="0" applyFont="1" applyBorder="1" applyAlignment="1">
      <alignment horizontal="left" vertical="top" wrapText="1"/>
    </xf>
    <xf numFmtId="0" fontId="14" fillId="0" borderId="3" xfId="0" applyFont="1" applyBorder="1" applyAlignment="1">
      <alignment horizontal="left" vertical="top" wrapText="1"/>
    </xf>
    <xf numFmtId="0" fontId="13" fillId="0" borderId="5" xfId="0" applyFont="1" applyBorder="1" applyAlignment="1">
      <alignment horizontal="left" vertical="top" wrapText="1"/>
    </xf>
    <xf numFmtId="0" fontId="14" fillId="0" borderId="3" xfId="0" quotePrefix="1" applyFont="1" applyBorder="1" applyAlignment="1">
      <alignment horizontal="left" vertical="top" wrapText="1"/>
    </xf>
    <xf numFmtId="0" fontId="0" fillId="0" borderId="2" xfId="0" applyBorder="1"/>
    <xf numFmtId="0" fontId="14" fillId="0" borderId="5" xfId="0" applyFont="1" applyBorder="1" applyAlignment="1">
      <alignment horizontal="left" vertical="top" wrapText="1"/>
    </xf>
    <xf numFmtId="0" fontId="13" fillId="0" borderId="5" xfId="0" quotePrefix="1" applyFont="1" applyBorder="1" applyAlignment="1">
      <alignment horizontal="left" vertical="top" wrapText="1"/>
    </xf>
    <xf numFmtId="0" fontId="14" fillId="0" borderId="5" xfId="0" quotePrefix="1" applyFont="1" applyBorder="1" applyAlignment="1">
      <alignment horizontal="left" vertical="top" wrapText="1"/>
    </xf>
    <xf numFmtId="0" fontId="15" fillId="0" borderId="3" xfId="0" applyFont="1" applyBorder="1" applyAlignment="1">
      <alignment vertical="top" wrapText="1"/>
    </xf>
    <xf numFmtId="0" fontId="14" fillId="0" borderId="2" xfId="0" applyFont="1" applyBorder="1" applyAlignment="1">
      <alignment horizontal="left" vertical="top" wrapText="1"/>
    </xf>
    <xf numFmtId="0" fontId="15" fillId="0" borderId="5" xfId="0" applyFont="1" applyBorder="1" applyAlignment="1">
      <alignment vertical="top"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9" fillId="3" borderId="0" xfId="0" applyFont="1" applyFill="1" applyAlignment="1">
      <alignment horizontal="left" vertical="top"/>
    </xf>
    <xf numFmtId="0" fontId="16" fillId="0" borderId="8" xfId="0" applyFont="1" applyBorder="1" applyAlignment="1">
      <alignment wrapText="1"/>
    </xf>
    <xf numFmtId="0" fontId="16" fillId="0" borderId="9" xfId="0" applyFont="1" applyBorder="1" applyAlignment="1">
      <alignment wrapText="1"/>
    </xf>
    <xf numFmtId="0" fontId="16" fillId="6" borderId="8" xfId="0" applyFont="1" applyFill="1" applyBorder="1" applyAlignment="1">
      <alignment wrapText="1"/>
    </xf>
    <xf numFmtId="0" fontId="16" fillId="6" borderId="9" xfId="0" applyFont="1" applyFill="1" applyBorder="1" applyAlignment="1">
      <alignment wrapText="1"/>
    </xf>
    <xf numFmtId="0" fontId="20" fillId="0" borderId="7" xfId="0" applyFont="1" applyBorder="1" applyAlignment="1">
      <alignment vertical="center" wrapText="1"/>
    </xf>
    <xf numFmtId="0" fontId="18" fillId="0" borderId="7" xfId="0" applyFont="1" applyBorder="1"/>
    <xf numFmtId="0" fontId="19" fillId="9" borderId="15" xfId="0" applyFont="1" applyFill="1" applyBorder="1"/>
    <xf numFmtId="0" fontId="18" fillId="0" borderId="6" xfId="0" applyFont="1" applyBorder="1"/>
    <xf numFmtId="0" fontId="17" fillId="7" borderId="16" xfId="0" applyFont="1" applyFill="1" applyBorder="1"/>
    <xf numFmtId="0" fontId="17" fillId="7" borderId="0" xfId="0" applyFont="1" applyFill="1"/>
    <xf numFmtId="0" fontId="1" fillId="0" borderId="11" xfId="0" applyFont="1" applyBorder="1" applyAlignment="1">
      <alignment horizontal="left" vertical="top" wrapText="1"/>
    </xf>
    <xf numFmtId="0" fontId="1" fillId="0" borderId="13" xfId="0" applyFont="1" applyBorder="1" applyAlignment="1">
      <alignment horizontal="left" vertical="top" wrapText="1"/>
    </xf>
    <xf numFmtId="0" fontId="0" fillId="0" borderId="0" xfId="0" applyAlignment="1">
      <alignment horizontal="center" vertical="center"/>
    </xf>
    <xf numFmtId="0" fontId="0" fillId="8" borderId="10" xfId="0" applyFill="1" applyBorder="1" applyAlignment="1">
      <alignment horizontal="left" vertical="top"/>
    </xf>
    <xf numFmtId="0" fontId="0" fillId="0" borderId="10" xfId="0" applyBorder="1" applyAlignment="1">
      <alignment horizontal="left" vertical="top"/>
    </xf>
    <xf numFmtId="0" fontId="0" fillId="8" borderId="10" xfId="0" applyFill="1" applyBorder="1" applyAlignment="1">
      <alignment vertical="top" wrapText="1"/>
    </xf>
    <xf numFmtId="0" fontId="0" fillId="8" borderId="17" xfId="0" applyFill="1" applyBorder="1" applyAlignment="1">
      <alignment vertical="top"/>
    </xf>
    <xf numFmtId="0" fontId="0" fillId="8" borderId="0" xfId="0" applyFill="1" applyAlignment="1">
      <alignment vertical="top" wrapText="1"/>
    </xf>
    <xf numFmtId="0" fontId="0" fillId="8" borderId="0" xfId="0" applyFill="1" applyAlignment="1">
      <alignment vertical="top"/>
    </xf>
    <xf numFmtId="0" fontId="0" fillId="0" borderId="17" xfId="0" applyBorder="1" applyAlignment="1">
      <alignment vertical="top"/>
    </xf>
    <xf numFmtId="0" fontId="0" fillId="0" borderId="0" xfId="0" applyAlignment="1">
      <alignment vertical="top" wrapText="1"/>
    </xf>
    <xf numFmtId="0" fontId="0" fillId="0" borderId="0" xfId="0" applyAlignment="1">
      <alignment vertical="top"/>
    </xf>
    <xf numFmtId="0" fontId="17" fillId="10" borderId="0" xfId="0" applyFont="1" applyFill="1"/>
    <xf numFmtId="0" fontId="0" fillId="11" borderId="0" xfId="0" applyFill="1"/>
    <xf numFmtId="0" fontId="3" fillId="0" borderId="3" xfId="0" applyFont="1" applyBorder="1" applyAlignment="1">
      <alignment horizontal="left" vertical="top" wrapText="1"/>
    </xf>
    <xf numFmtId="0" fontId="12" fillId="0" borderId="7" xfId="0" applyFont="1" applyBorder="1" applyAlignment="1">
      <alignment horizontal="left" vertical="top" wrapText="1"/>
    </xf>
    <xf numFmtId="0" fontId="12" fillId="0" borderId="6" xfId="0" applyFont="1" applyBorder="1" applyAlignment="1">
      <alignment horizontal="left" vertical="top" wrapText="1"/>
    </xf>
    <xf numFmtId="0" fontId="11" fillId="0" borderId="0" xfId="0" applyFont="1"/>
    <xf numFmtId="0" fontId="13" fillId="4" borderId="19" xfId="0" applyFont="1" applyFill="1" applyBorder="1"/>
    <xf numFmtId="0" fontId="13" fillId="4" borderId="18" xfId="0" applyFont="1" applyFill="1" applyBorder="1"/>
    <xf numFmtId="0" fontId="14" fillId="4" borderId="19" xfId="0" applyFont="1" applyFill="1" applyBorder="1"/>
    <xf numFmtId="0" fontId="13" fillId="0" borderId="14" xfId="0" applyFont="1" applyBorder="1"/>
    <xf numFmtId="0" fontId="13" fillId="0" borderId="12" xfId="0" applyFont="1" applyBorder="1"/>
    <xf numFmtId="0" fontId="14" fillId="0" borderId="14" xfId="0" applyFont="1" applyBorder="1"/>
    <xf numFmtId="0" fontId="14" fillId="0" borderId="14" xfId="0" quotePrefix="1" applyFont="1" applyBorder="1" applyAlignment="1">
      <alignment wrapText="1"/>
    </xf>
    <xf numFmtId="0" fontId="14" fillId="0" borderId="19" xfId="0" applyFont="1" applyBorder="1"/>
    <xf numFmtId="0" fontId="13" fillId="0" borderId="19" xfId="0" applyFont="1" applyBorder="1"/>
    <xf numFmtId="0" fontId="13" fillId="0" borderId="18" xfId="0" applyFont="1" applyBorder="1"/>
    <xf numFmtId="0" fontId="14" fillId="0" borderId="19" xfId="0" applyFont="1" applyBorder="1" applyAlignment="1">
      <alignment wrapText="1"/>
    </xf>
    <xf numFmtId="0" fontId="1" fillId="0" borderId="20" xfId="0" applyFont="1" applyBorder="1" applyAlignment="1">
      <alignment horizontal="left" vertical="top" wrapText="1"/>
    </xf>
    <xf numFmtId="0" fontId="5" fillId="0" borderId="0" xfId="0" applyFont="1" applyAlignment="1">
      <alignment vertical="top" wrapText="1"/>
    </xf>
    <xf numFmtId="0" fontId="5" fillId="0" borderId="13" xfId="0" applyFont="1" applyBorder="1" applyAlignment="1">
      <alignment horizontal="left" vertical="top" wrapText="1"/>
    </xf>
    <xf numFmtId="0" fontId="22" fillId="13" borderId="3" xfId="0" applyFont="1" applyFill="1" applyBorder="1" applyAlignment="1">
      <alignment horizontal="left" vertical="top" wrapText="1"/>
    </xf>
    <xf numFmtId="0" fontId="0" fillId="13" borderId="0" xfId="0" applyFill="1"/>
    <xf numFmtId="0" fontId="1" fillId="12" borderId="20" xfId="0" applyFont="1" applyFill="1" applyBorder="1" applyAlignment="1">
      <alignment horizontal="left" vertical="top" wrapText="1"/>
    </xf>
    <xf numFmtId="0" fontId="1" fillId="12" borderId="13" xfId="0" applyFont="1" applyFill="1" applyBorder="1" applyAlignment="1">
      <alignment horizontal="left" vertical="top" wrapText="1"/>
    </xf>
    <xf numFmtId="0" fontId="0" fillId="13" borderId="0" xfId="0" applyFill="1" applyAlignment="1">
      <alignment horizontal="left" vertical="top" wrapText="1"/>
    </xf>
    <xf numFmtId="0" fontId="23" fillId="14" borderId="0" xfId="0" applyFont="1" applyFill="1"/>
    <xf numFmtId="0" fontId="24" fillId="13" borderId="3" xfId="0" applyFont="1" applyFill="1" applyBorder="1" applyAlignment="1">
      <alignment horizontal="left" vertical="top" wrapText="1"/>
    </xf>
    <xf numFmtId="0" fontId="24" fillId="13" borderId="5" xfId="0" applyFont="1" applyFill="1" applyBorder="1" applyAlignment="1">
      <alignment horizontal="left" vertical="top" wrapText="1"/>
    </xf>
    <xf numFmtId="0" fontId="22" fillId="13" borderId="0" xfId="0" applyFont="1" applyFill="1"/>
    <xf numFmtId="0" fontId="21" fillId="12" borderId="4" xfId="0" applyFont="1" applyFill="1" applyBorder="1" applyAlignment="1">
      <alignment wrapText="1"/>
    </xf>
    <xf numFmtId="0" fontId="5" fillId="14" borderId="0" xfId="0" applyFont="1" applyFill="1" applyAlignment="1">
      <alignment vertical="top" wrapText="1"/>
    </xf>
    <xf numFmtId="0" fontId="2" fillId="0" borderId="21" xfId="0" applyFont="1" applyBorder="1" applyAlignment="1">
      <alignment horizontal="center" vertical="center"/>
    </xf>
    <xf numFmtId="0" fontId="1" fillId="0" borderId="2" xfId="0" applyFont="1" applyBorder="1" applyAlignment="1">
      <alignment vertical="top"/>
    </xf>
    <xf numFmtId="0" fontId="1" fillId="0" borderId="2" xfId="0" applyFont="1" applyBorder="1" applyAlignment="1">
      <alignment vertical="top" wrapText="1"/>
    </xf>
    <xf numFmtId="0" fontId="5" fillId="0" borderId="2" xfId="0" applyFont="1" applyBorder="1" applyAlignment="1">
      <alignment vertical="top" wrapText="1"/>
    </xf>
    <xf numFmtId="0" fontId="5" fillId="0" borderId="2" xfId="0" applyFont="1" applyBorder="1" applyAlignment="1">
      <alignment vertical="top"/>
    </xf>
    <xf numFmtId="0" fontId="4" fillId="0" borderId="2" xfId="0" applyFont="1" applyBorder="1" applyAlignment="1">
      <alignment vertical="top"/>
    </xf>
    <xf numFmtId="0" fontId="0" fillId="0" borderId="2" xfId="0" applyBorder="1" applyAlignment="1">
      <alignment vertical="top" wrapText="1"/>
    </xf>
    <xf numFmtId="0" fontId="4" fillId="0" borderId="2" xfId="0" applyFont="1" applyBorder="1" applyAlignment="1">
      <alignment vertical="top" wrapText="1"/>
    </xf>
    <xf numFmtId="0" fontId="0" fillId="8" borderId="22" xfId="0" applyFill="1" applyBorder="1" applyAlignment="1">
      <alignment horizontal="left" vertical="top"/>
    </xf>
    <xf numFmtId="0" fontId="0" fillId="0" borderId="22" xfId="0" applyBorder="1" applyAlignment="1">
      <alignment horizontal="left" vertical="top"/>
    </xf>
    <xf numFmtId="0" fontId="0" fillId="8" borderId="23" xfId="0" applyFill="1" applyBorder="1" applyAlignment="1">
      <alignment horizontal="left" vertical="top"/>
    </xf>
    <xf numFmtId="0" fontId="0" fillId="0" borderId="24" xfId="0" applyBorder="1" applyAlignment="1">
      <alignment vertical="top" wrapText="1"/>
    </xf>
    <xf numFmtId="0" fontId="0" fillId="8" borderId="2" xfId="0" applyFill="1" applyBorder="1" applyAlignment="1">
      <alignment vertical="top" wrapText="1"/>
    </xf>
    <xf numFmtId="0" fontId="0" fillId="8" borderId="25" xfId="0" applyFill="1" applyBorder="1" applyAlignment="1">
      <alignment vertical="top"/>
    </xf>
    <xf numFmtId="0" fontId="17" fillId="7" borderId="26" xfId="0" applyFont="1" applyFill="1" applyBorder="1"/>
    <xf numFmtId="0" fontId="17" fillId="7" borderId="27" xfId="0" applyFont="1" applyFill="1" applyBorder="1"/>
    <xf numFmtId="0" fontId="2" fillId="12" borderId="21" xfId="0" applyFont="1" applyFill="1" applyBorder="1" applyAlignment="1">
      <alignment horizontal="center" vertical="center"/>
    </xf>
    <xf numFmtId="0" fontId="3" fillId="0" borderId="4" xfId="0" applyFont="1" applyBorder="1" applyAlignment="1">
      <alignment vertical="top" wrapText="1"/>
    </xf>
    <xf numFmtId="0" fontId="25" fillId="0" borderId="5" xfId="0" applyFont="1" applyBorder="1" applyAlignment="1">
      <alignment horizontal="left" vertical="top" wrapText="1"/>
    </xf>
    <xf numFmtId="0" fontId="25" fillId="0" borderId="2" xfId="0" applyFont="1" applyBorder="1" applyAlignment="1">
      <alignment horizontal="left" vertical="top" wrapText="1"/>
    </xf>
    <xf numFmtId="0" fontId="25" fillId="0" borderId="3" xfId="0" quotePrefix="1" applyFont="1" applyBorder="1" applyAlignment="1">
      <alignment horizontal="left" vertical="top" wrapText="1"/>
    </xf>
    <xf numFmtId="0" fontId="25" fillId="0" borderId="5" xfId="0" quotePrefix="1" applyFont="1" applyBorder="1" applyAlignment="1">
      <alignment horizontal="left" vertical="top" wrapText="1"/>
    </xf>
    <xf numFmtId="0" fontId="26" fillId="0" borderId="3" xfId="0" applyFont="1" applyBorder="1" applyAlignment="1">
      <alignment horizontal="left" vertical="top" wrapText="1"/>
    </xf>
    <xf numFmtId="0" fontId="27" fillId="13" borderId="3" xfId="0" applyFont="1" applyFill="1" applyBorder="1" applyAlignment="1">
      <alignment horizontal="left" vertical="top" wrapText="1"/>
    </xf>
    <xf numFmtId="0" fontId="25" fillId="0" borderId="3" xfId="0" applyFont="1" applyBorder="1" applyAlignment="1">
      <alignment horizontal="left" vertical="top" wrapText="1"/>
    </xf>
    <xf numFmtId="0" fontId="28" fillId="13" borderId="5" xfId="0" applyFont="1" applyFill="1" applyBorder="1" applyAlignment="1">
      <alignment horizontal="left" vertical="top" wrapText="1"/>
    </xf>
    <xf numFmtId="0" fontId="29" fillId="0" borderId="0" xfId="0" applyFont="1"/>
    <xf numFmtId="0" fontId="26" fillId="0" borderId="5" xfId="0" applyFont="1" applyBorder="1" applyAlignment="1">
      <alignment horizontal="left" vertical="top" wrapText="1"/>
    </xf>
    <xf numFmtId="0" fontId="30" fillId="8" borderId="17" xfId="0" applyFont="1" applyFill="1" applyBorder="1" applyAlignment="1">
      <alignment vertical="top"/>
    </xf>
    <xf numFmtId="0" fontId="30" fillId="8" borderId="0" xfId="0" applyFont="1" applyFill="1" applyAlignment="1">
      <alignment vertical="top" wrapText="1"/>
    </xf>
    <xf numFmtId="0" fontId="30" fillId="8" borderId="0" xfId="0" applyFont="1" applyFill="1" applyAlignment="1">
      <alignment vertical="top"/>
    </xf>
    <xf numFmtId="0" fontId="30" fillId="0" borderId="0" xfId="0" applyFont="1" applyAlignment="1">
      <alignment horizontal="center" vertical="center"/>
    </xf>
  </cellXfs>
  <cellStyles count="1">
    <cellStyle name="Normal" xfId="0" builtinId="0"/>
  </cellStyles>
  <dxfs count="63">
    <dxf>
      <font>
        <b val="0"/>
        <i/>
        <strike val="0"/>
        <condense val="0"/>
        <extend val="0"/>
        <outline val="0"/>
        <shadow val="0"/>
        <u val="none"/>
        <vertAlign val="baseline"/>
        <sz val="12"/>
        <color theme="1"/>
        <name val="Aptos Narrow"/>
        <family val="2"/>
        <scheme val="minor"/>
      </font>
      <numFmt numFmtId="0" formatCode="General"/>
      <fill>
        <patternFill patternType="none">
          <fgColor indexed="64"/>
          <bgColor theme="5" tint="0.79998168889431442"/>
        </patternFill>
      </fill>
      <alignment horizontal="left" vertical="top" textRotation="0" wrapText="1" indent="0" justifyLastLine="0" shrinkToFit="0" readingOrder="0"/>
      <border diagonalUp="0" diagonalDown="0">
        <left/>
        <right style="thin">
          <color indexed="64"/>
        </right>
        <top style="thin">
          <color indexed="64"/>
        </top>
        <bottom/>
      </border>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solid">
          <fgColor theme="0" tint="-0.14999847407452621"/>
          <bgColor theme="0" tint="-0.14999847407452621"/>
        </patternFill>
      </fill>
      <alignment horizontal="general" vertical="top" textRotation="0" wrapText="0" indent="0" justifyLastLine="0" shrinkToFit="0" readingOrder="0"/>
      <border diagonalUp="0" diagonalDown="0">
        <left/>
        <right style="thin">
          <color theme="1"/>
        </right>
        <top style="thin">
          <color theme="1"/>
        </top>
        <bottom style="thin">
          <color theme="1"/>
        </bottom>
        <vertical/>
        <horizontal/>
      </border>
    </dxf>
    <dxf>
      <border outline="0">
        <left style="thin">
          <color theme="1"/>
        </left>
        <top style="medium">
          <color theme="1"/>
        </top>
      </border>
    </dxf>
    <dxf>
      <border outline="0">
        <bottom style="medium">
          <color theme="1"/>
        </bottom>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
      <font>
        <b val="0"/>
        <i val="0"/>
        <strike val="0"/>
        <condense val="0"/>
        <extend val="0"/>
        <outline val="0"/>
        <shadow val="0"/>
        <u val="none"/>
        <vertAlign val="baseline"/>
        <sz val="12"/>
        <color rgb="FF000000"/>
        <name val="Aptos Narrow"/>
        <scheme val="minor"/>
      </font>
      <fill>
        <patternFill patternType="solid">
          <fgColor rgb="FFD9D9D9"/>
          <bgColor rgb="FFD9D9D9"/>
        </patternFill>
      </fill>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Aptos Narrow"/>
        <scheme val="minor"/>
      </font>
      <fill>
        <patternFill patternType="solid">
          <fgColor rgb="FFD9D9D9"/>
          <bgColor rgb="FFD9D9D9"/>
        </patternFill>
      </fill>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Aptos Narrow"/>
        <scheme val="minor"/>
      </font>
      <fill>
        <patternFill patternType="solid">
          <fgColor rgb="FFD9D9D9"/>
          <bgColor rgb="FFD9D9D9"/>
        </patternFill>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ptos Narrow"/>
        <scheme val="minor"/>
      </font>
      <fill>
        <patternFill patternType="solid">
          <fgColor rgb="FFD9D9D9"/>
          <bgColor rgb="FFD9D9D9"/>
        </patternFill>
      </fill>
      <border diagonalUp="0" diagonalDown="0">
        <left/>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auto="1"/>
        <name val="Aptos Narrow"/>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indent="0" justifyLastLine="0" shrinkToFit="0" readingOrder="0"/>
    </dxf>
    <dxf>
      <font>
        <strike val="0"/>
        <outline val="0"/>
        <shadow val="0"/>
        <u val="none"/>
        <vertAlign val="baseline"/>
        <sz val="12"/>
        <color theme="0"/>
        <name val="Aptos Narrow"/>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theme="1"/>
        </left>
        <right style="thin">
          <color indexed="64"/>
        </right>
        <top style="thin">
          <color rgb="FF000000"/>
        </top>
        <bottom style="thin">
          <color indexed="64"/>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center" textRotation="0" wrapText="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border diagonalUp="0" diagonalDown="0" outline="0">
        <left/>
        <right/>
        <top style="thin">
          <color theme="1"/>
        </top>
        <bottom style="thin">
          <color theme="1"/>
        </bottom>
      </border>
    </dxf>
    <dxf>
      <border outline="0">
        <left style="thin">
          <color theme="1"/>
        </left>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solid">
          <fgColor indexed="64"/>
          <bgColor theme="4" tint="-0.499984740745262"/>
        </patternFill>
      </fill>
    </dxf>
    <dxf>
      <numFmt numFmtId="0" formatCode="General"/>
      <fill>
        <patternFill patternType="none">
          <fgColor indexed="64"/>
          <bgColor theme="5" tint="0.79998168889431442"/>
        </patternFill>
      </fill>
    </dxf>
    <dxf>
      <fill>
        <patternFill patternType="none">
          <fgColor rgb="FF000000"/>
          <bgColor rgb="FFFFFFFF"/>
        </patternFill>
      </fill>
    </dxf>
    <dxf>
      <font>
        <b val="0"/>
        <i val="0"/>
        <strike val="0"/>
        <condense val="0"/>
        <extend val="0"/>
        <outline val="0"/>
        <shadow val="0"/>
        <u val="none"/>
        <vertAlign val="baseline"/>
        <sz val="12"/>
        <color rgb="FF000000"/>
        <name val="Aptos Narrow"/>
        <scheme val="minor"/>
      </font>
      <fill>
        <patternFill>
          <fgColor indexed="64"/>
          <bgColor theme="5" tint="0.7999816888943144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strike val="0"/>
        <condense val="0"/>
        <extend val="0"/>
        <outline val="0"/>
        <shadow val="0"/>
        <u val="none"/>
        <vertAlign val="baseline"/>
        <sz val="12"/>
        <color rgb="FF000000"/>
        <name val="Aptos Narrow"/>
        <scheme val="minor"/>
      </font>
      <numFmt numFmtId="0" formatCode="General"/>
      <fill>
        <patternFill>
          <bgColor theme="5" tint="0.7999816888943144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Narrow"/>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ptos Narrow"/>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ptos Narrow"/>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ptos Narrow"/>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000000"/>
        <name val="Aptos Narrow"/>
        <scheme val="minor"/>
      </font>
      <numFmt numFmtId="0" formatCode="General"/>
      <alignment horizontal="left" vertical="top" textRotation="0" wrapText="1" indent="0" justifyLastLine="0" shrinkToFit="0" readingOrder="0"/>
      <border diagonalUp="0" diagonalDown="0">
        <left/>
        <right/>
        <top style="thin">
          <color indexed="64"/>
        </top>
        <bottom style="thin">
          <color indexed="64"/>
        </bottom>
        <vertical/>
        <horizontal/>
      </border>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left" vertical="top" textRotation="0" wrapText="1" indent="0" justifyLastLine="0" shrinkToFit="0" readingOrder="0"/>
      <border diagonalUp="0" diagonalDown="0" outline="0">
        <left/>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rgb="FF000000"/>
          <bgColor rgb="FFFFFFFF"/>
        </patternFill>
      </fill>
    </dxf>
    <dxf>
      <border outline="0">
        <bottom style="thin">
          <color rgb="FF000000"/>
        </bottom>
      </border>
    </dxf>
    <dxf>
      <font>
        <b/>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50BBA5-B93A-174B-8087-55D99FD449F6}" name="IACriteria" displayName="IACriteria" ref="A1:K61" totalsRowShown="0" headerRowDxfId="62" dataDxfId="60" headerRowBorderDxfId="61" tableBorderDxfId="59" totalsRowBorderDxfId="58">
  <autoFilter ref="A1:K61" xr:uid="{C4A389D8-7640-0148-9D34-99B28BCBFD75}"/>
  <sortState xmlns:xlrd2="http://schemas.microsoft.com/office/spreadsheetml/2017/richdata2" ref="A2:I61">
    <sortCondition ref="A1:A61"/>
  </sortState>
  <tableColumns count="11">
    <tableColumn id="1" xr3:uid="{BF58B1D8-4F6C-E248-837B-4C9D497E4F7E}" name="Criteria Dimension" dataDxfId="57"/>
    <tableColumn id="16" xr3:uid="{B613A9CE-1E80-E242-BD97-5917471D0A96}" name="Criteria ID" dataDxfId="56">
      <calculatedColumnFormula>IACriteria[[#This Row],[Criteria Sequence]]&amp;"."&amp;IACriteria[[#This Row],[Maturity Level '#]]</calculatedColumnFormula>
    </tableColumn>
    <tableColumn id="11" xr3:uid="{BCCB8446-D548-7345-93FA-9EF37D2F601C}" name="Criteria Sequence" dataDxfId="0">
      <calculatedColumnFormula>D2</calculatedColumnFormula>
    </tableColumn>
    <tableColumn id="8" xr3:uid="{2848222B-60F4-424A-B5A5-650F1DBBE1AB}" name="Maturity Level" dataDxfId="55"/>
    <tableColumn id="7" xr3:uid="{4CAEE245-CC1B-504C-8509-C17747345CED}" name="Criteria" dataDxfId="54"/>
    <tableColumn id="9" xr3:uid="{C6E9E8E2-B8CA-5349-8CCA-BFA2292E9879}" name="Criteria Checklist" dataDxfId="53"/>
    <tableColumn id="10" xr3:uid="{C563B093-D40C-794D-9AD0-C451F01FDB9D}" name="Evidence (Viewpoint)" dataDxfId="52"/>
    <tableColumn id="13" xr3:uid="{C10A36E0-0251-3A4D-A89C-A4FD8D11D8AE}" name="Criteria Dimension Question" dataDxfId="51">
      <calculatedColumnFormula>VLOOKUP(IACriteria[[#This Row],[Criteria Dimension]],Table5[#All],2,FALSE)</calculatedColumnFormula>
    </tableColumn>
    <tableColumn id="12" xr3:uid="{F72C8222-C4CE-1F4D-9BAF-E39488CF1652}" name="Data Management Capability" dataDxfId="50">
      <calculatedColumnFormula>VLOOKUP(IACriteria[[#This Row],[Criteria Dimension]],Table5[#All],3,FALSE)</calculatedColumnFormula>
    </tableColumn>
    <tableColumn id="14" xr3:uid="{AF328367-1B43-104D-B60F-438A6A2DF7C0}" name="Comments" dataDxfId="49"/>
    <tableColumn id="15" xr3:uid="{77C56726-1F68-1D42-B3EE-48C75643A2B1}" name="Maturity Level #" dataDxfId="48">
      <calculatedColumnFormula>VLOOKUP(IACriteria[[#This Row],[Maturity Level]],Table11[#All],4,FALSE)</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A412C8-3DE1-A948-94B2-5E610FC6F4C3}" name="Table12" displayName="Table12" ref="A1:C2" totalsRowShown="0">
  <autoFilter ref="A1:C2" xr:uid="{BFA412C8-3DE1-A948-94B2-5E610FC6F4C3}"/>
  <tableColumns count="3">
    <tableColumn id="1" xr3:uid="{F18534B6-D070-724D-955C-6130991B49F7}" name="Comment"/>
    <tableColumn id="2" xr3:uid="{AA5D9A4E-2C61-1049-A33D-801ADEFB8ADA}" name="Submitter"/>
    <tableColumn id="3" xr3:uid="{68E0724C-DE49-414B-AB36-755B8E770CB8}" name="Maturity Criteria ID"/>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F6F990-C9D6-9047-BB67-333E2F992300}" name="Table4" displayName="Table4" ref="A2:A13" totalsRowShown="0" headerRowDxfId="47" dataDxfId="45" headerRowBorderDxfId="46" tableBorderDxfId="44" totalsRowBorderDxfId="43">
  <autoFilter ref="A2:A13" xr:uid="{0CF6F990-C9D6-9047-BB67-333E2F992300}"/>
  <tableColumns count="1">
    <tableColumn id="1" xr3:uid="{FFB546A9-FCE3-9640-B93D-2114DFD5FB53}" name="Data Management Capability" dataDxfId="4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83AAB9-431C-9641-B4B3-EF5C25FF3708}" name="Table5" displayName="Table5" ref="C2:F14" totalsRowShown="0" tableBorderDxfId="41">
  <autoFilter ref="C2:F14" xr:uid="{1483AAB9-431C-9641-B4B3-EF5C25FF3708}"/>
  <tableColumns count="4">
    <tableColumn id="1" xr3:uid="{C2BBF5D6-AFA1-664E-8EC1-FAB5534E1F1D}" name="Maturity Criteria Dimension" dataDxfId="40"/>
    <tableColumn id="4" xr3:uid="{538CB62A-DB9B-B44D-A5FF-7FAA91E6EBDC}" name="Criteria Dimension Question" dataDxfId="39"/>
    <tableColumn id="3" xr3:uid="{0482EA80-E66F-1247-BE95-0B1AEE9169AA}" name="Data Management Capability" dataDxfId="38"/>
    <tableColumn id="2" xr3:uid="{3D9EED84-8BE5-CB46-8495-FFB7FF356E7D}" name="Criteria ID" dataDxfId="37"/>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CBE3D6-F798-AF4E-BC1C-A10ED96C52C9}" name="Table7" displayName="Table7" ref="H2:J11" totalsRowShown="0" headerRowDxfId="36" dataDxfId="35">
  <autoFilter ref="H2:J11" xr:uid="{ADCBE3D6-F798-AF4E-BC1C-A10ED96C52C9}"/>
  <tableColumns count="3">
    <tableColumn id="1" xr3:uid="{24180C73-0C7F-C740-AB1B-3219EFB45143}" name="Column" dataDxfId="34"/>
    <tableColumn id="2" xr3:uid="{7CB2FCB3-3DEE-F24E-A846-7F3ACAEE179C}" name="Description" dataDxfId="33"/>
    <tableColumn id="3" xr3:uid="{8E5915D1-AE45-4440-AE1B-07D0C55027B3}" name="Lookup Value" dataDxfId="32"/>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248CB9-96E6-6142-A3FA-222A3ED8A93A}" name="Table8" displayName="Table8" ref="L2:M6" totalsRowShown="0" headerRowDxfId="31" dataDxfId="30">
  <autoFilter ref="L2:M6" xr:uid="{03248CB9-96E6-6142-A3FA-222A3ED8A93A}"/>
  <tableColumns count="2">
    <tableColumn id="1" xr3:uid="{C0A2BAD2-146E-DA47-AF22-DAA21D4B0A8C}" name="Sheets" dataDxfId="29"/>
    <tableColumn id="2" xr3:uid="{E70274AF-01DD-4145-B896-3B324DEB3601}" name="Description" dataDxfId="28"/>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66CDA8-3710-8C46-AC9F-AF53BF68E3D3}" name="Table210" displayName="Table210" ref="T2:U11" totalsRowShown="0" headerRowDxfId="27" dataDxfId="26">
  <autoFilter ref="T2:U11" xr:uid="{0066CDA8-3710-8C46-AC9F-AF53BF68E3D3}"/>
  <tableColumns count="2">
    <tableColumn id="1" xr3:uid="{6A612011-4E10-C64F-8EE3-BA586943F4F5}" name="Column" dataDxfId="25"/>
    <tableColumn id="2" xr3:uid="{1B9E94A8-A421-EA48-A46F-70606B0FCEDE}" name="Description" dataDxfId="24"/>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9F93B0-E9DF-F547-9691-1CF061EA00FE}" name="Table9" displayName="Table9" ref="W2:Z48" totalsRowShown="0" headerRowDxfId="23" tableBorderDxfId="22">
  <autoFilter ref="W2:Z48" xr:uid="{DC9F93B0-E9DF-F547-9691-1CF061EA00FE}"/>
  <tableColumns count="4">
    <tableColumn id="1" xr3:uid="{8CADD53F-EA8C-AE45-B14B-DD2F78168853}" name="Viewpoint Names" dataDxfId="21"/>
    <tableColumn id="2" xr3:uid="{7D5648FE-618B-9A41-A437-07965D283522}" name="Viewpoint Type" dataDxfId="20"/>
    <tableColumn id="4" xr3:uid="{FC59ADEC-7D43-834F-8827-E435B70C0531}" name="Veiwpoint Status in Viewpoint Document" dataDxfId="19"/>
    <tableColumn id="3" xr3:uid="{67FF7B69-D8DA-6C43-B400-D3DBA12A6DF1}" name="Viewpoint Architecture" dataDxfId="18"/>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ECAA55-0DDE-494C-903C-2CF4370D6687}" name="Table11" displayName="Table11" ref="O2:R7" totalsRowShown="0" headerRowDxfId="17" headerRowBorderDxfId="16" tableBorderDxfId="15">
  <autoFilter ref="O2:R7" xr:uid="{71ECAA55-0DDE-494C-903C-2CF4370D6687}"/>
  <tableColumns count="4">
    <tableColumn id="1" xr3:uid="{5003EAED-F119-6E4A-AF2E-049B8543C7DE}" name="Maturity Level" dataDxfId="14"/>
    <tableColumn id="2" xr3:uid="{903F9272-DFA2-0D49-81B9-E656831D6883}" name="Type"/>
    <tableColumn id="3" xr3:uid="{B35B99D8-62F2-B74E-9849-E6AD7058E223}" name="Data Description"/>
    <tableColumn id="4" xr3:uid="{52974ECA-C250-0C42-B6FD-145D404C1175}" name="Maturity Level ID"/>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0BBF7-1C7F-8749-A33B-3CE8F3E7106F}" name="Table1" displayName="Table1" ref="A2:N80" totalsRowShown="0" dataDxfId="13">
  <autoFilter ref="A2:N80" xr:uid="{DB10BBF7-1C7F-8749-A33B-3CE8F3E7106F}">
    <filterColumn colId="9">
      <filters>
        <filter val="Business Intelligence &amp; Data Science"/>
      </filters>
    </filterColumn>
  </autoFilter>
  <sortState xmlns:xlrd2="http://schemas.microsoft.com/office/spreadsheetml/2017/richdata2" ref="A3:M80">
    <sortCondition ref="A2:A80"/>
  </sortState>
  <tableColumns count="14">
    <tableColumn id="1" xr3:uid="{790F1E58-17FC-1148-91D5-43B67EB8B283}" name="Maturity Level" dataDxfId="12">
      <calculatedColumnFormula>VLOOKUP(Table1[[#This Row],[Type]],MaturityLevelDescription,3,FALSE)</calculatedColumnFormula>
    </tableColumn>
    <tableColumn id="2" xr3:uid="{940327A1-6389-1748-A4CB-C778BCBC6E5E}" name="Crieria Name" dataDxfId="11"/>
    <tableColumn id="3" xr3:uid="{EE126C29-7206-6A45-AA44-2043A4A650CA}" name="Criteria" dataDxfId="10"/>
    <tableColumn id="13" xr3:uid="{F1DF59BD-0F13-9E4E-9F78-61C910179279}" name="Summary Question" dataDxfId="9"/>
    <tableColumn id="11" xr3:uid="{F73B9A29-27F8-5849-9443-1A5A493BE321}" name="Detailed Question" dataDxfId="8"/>
    <tableColumn id="4" xr3:uid="{43A55123-3337-D04C-8D2B-454767CDA12F}" name="Rationale" dataDxfId="7"/>
    <tableColumn id="10" xr3:uid="{73504FE4-0A7D-404A-9E0E-521E393429E0}" name="Related Activity (ies)" dataDxfId="6"/>
    <tableColumn id="9" xr3:uid="{ABE4BA8E-FD3D-4148-B2FF-7119324991B5}" name="Type" dataDxfId="5"/>
    <tableColumn id="12" xr3:uid="{62F0B0C6-83C8-5E46-8FBD-E1754DFBD294}" name="Category" dataDxfId="4"/>
    <tableColumn id="8" xr3:uid="{0D273F57-FEC7-BC44-8F22-4CB775B07DC4}" name="Data Management Capability" dataDxfId="3"/>
    <tableColumn id="6" xr3:uid="{CF5E4D45-AEB6-0246-9C59-69B46EAE3C4C}" name="Architecture" dataDxfId="2"/>
    <tableColumn id="5" xr3:uid="{5DD4BD8F-136E-3B4D-B7EF-0AFFACE08A70}" name="Suggested Validation Method"/>
    <tableColumn id="7" xr3:uid="{DCC98D66-A2E6-484B-8098-F27489C51CC8}" name="Suggested Evidence"/>
    <tableColumn id="14" xr3:uid="{C985E56F-4AC1-474D-85D4-BEA2259FFFB3}" name="Column1" dataDxfId="1"/>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1562-E26C-C943-B18B-FFAA1D50D49A}">
  <dimension ref="A1:K61"/>
  <sheetViews>
    <sheetView tabSelected="1" topLeftCell="C7" zoomScale="124" zoomScaleNormal="77" workbookViewId="0">
      <selection activeCell="E2" sqref="E2"/>
    </sheetView>
  </sheetViews>
  <sheetFormatPr defaultColWidth="11" defaultRowHeight="16" x14ac:dyDescent="0.4"/>
  <cols>
    <col min="1" max="1" width="39.33203125" customWidth="1"/>
    <col min="2" max="2" width="19.5" customWidth="1"/>
    <col min="3" max="3" width="16" style="85" customWidth="1"/>
    <col min="4" max="4" width="17.33203125" customWidth="1"/>
    <col min="5" max="5" width="39.33203125" customWidth="1"/>
    <col min="6" max="6" width="39.33203125" style="63" customWidth="1"/>
    <col min="7" max="7" width="39.33203125" customWidth="1"/>
    <col min="8" max="8" width="39.33203125" style="92" customWidth="1"/>
    <col min="9" max="9" width="39.33203125" style="85" customWidth="1"/>
    <col min="10" max="10" width="51.6640625" customWidth="1"/>
    <col min="11" max="11" width="0" style="85" hidden="1" customWidth="1"/>
  </cols>
  <sheetData>
    <row r="1" spans="1:11" ht="32" x14ac:dyDescent="0.4">
      <c r="A1" s="27" t="s">
        <v>16</v>
      </c>
      <c r="B1" s="27" t="s">
        <v>17</v>
      </c>
      <c r="C1" s="93" t="s">
        <v>730</v>
      </c>
      <c r="D1" s="27" t="s">
        <v>18</v>
      </c>
      <c r="E1" s="27" t="s">
        <v>19</v>
      </c>
      <c r="F1" s="112" t="s">
        <v>20</v>
      </c>
      <c r="G1" s="27" t="s">
        <v>21</v>
      </c>
      <c r="H1" s="89" t="s">
        <v>22</v>
      </c>
      <c r="I1" s="93" t="s">
        <v>23</v>
      </c>
      <c r="J1" s="95" t="s">
        <v>24</v>
      </c>
      <c r="K1" s="111" t="s">
        <v>25</v>
      </c>
    </row>
    <row r="2" spans="1:11" ht="125.25" customHeight="1" x14ac:dyDescent="0.4">
      <c r="A2" s="39" t="s">
        <v>26</v>
      </c>
      <c r="B2" s="39" t="str">
        <f>IACriteria[[#This Row],[Criteria Sequence]]&amp;"."&amp;IACriteria[[#This Row],[Maturity Level '#]]</f>
        <v>Level 1.1</v>
      </c>
      <c r="C2" s="84" t="str">
        <f t="shared" ref="C2:C33" si="0">D2</f>
        <v>Level 1</v>
      </c>
      <c r="D2" s="29" t="s">
        <v>0</v>
      </c>
      <c r="E2" s="29" t="s">
        <v>27</v>
      </c>
      <c r="F2" s="28"/>
      <c r="G2" s="28"/>
      <c r="H2" s="84" t="str">
        <f>VLOOKUP(IACriteria[[#This Row],[Criteria Dimension]],Table5[#All],2,FALSE)</f>
        <v>Does the information used to support this capability have documented data quality rules and measures that are accessible to stakeholders and help ensure that the information is fit for use?</v>
      </c>
      <c r="I2" s="84" t="str">
        <f>VLOOKUP(IACriteria[[#This Row],[Criteria Dimension]],Table5[#All],3,FALSE)</f>
        <v>Data Quality</v>
      </c>
      <c r="K2" s="84">
        <f>VLOOKUP(IACriteria[[#This Row],[Maturity Level]],Table11[#All],4,FALSE)</f>
        <v>1</v>
      </c>
    </row>
    <row r="3" spans="1:11" ht="125.25" customHeight="1" x14ac:dyDescent="0.4">
      <c r="A3" s="39" t="s">
        <v>26</v>
      </c>
      <c r="B3" s="39" t="str">
        <f>IACriteria[[#This Row],[Criteria Sequence]]&amp;"."&amp;IACriteria[[#This Row],[Maturity Level '#]]</f>
        <v>Level 2.2</v>
      </c>
      <c r="C3" s="84" t="str">
        <f t="shared" si="0"/>
        <v>Level 2</v>
      </c>
      <c r="D3" s="28" t="s">
        <v>1</v>
      </c>
      <c r="E3" s="29" t="s">
        <v>28</v>
      </c>
      <c r="F3" s="31" t="s">
        <v>626</v>
      </c>
      <c r="G3" s="31" t="s">
        <v>627</v>
      </c>
      <c r="H3" s="90" t="str">
        <f>VLOOKUP(IACriteria[[#This Row],[Criteria Dimension]],Table5[#All],2,FALSE)</f>
        <v>Does the information used to support this capability have documented data quality rules and measures that are accessible to stakeholders and help ensure that the information is fit for use?</v>
      </c>
      <c r="I3" s="84" t="str">
        <f>VLOOKUP(IACriteria[[#This Row],[Criteria Dimension]],Table5[#All],3,FALSE)</f>
        <v>Data Quality</v>
      </c>
      <c r="K3" s="85">
        <f>VLOOKUP(IACriteria[[#This Row],[Maturity Level]],Table11[#All],4,FALSE)</f>
        <v>2</v>
      </c>
    </row>
    <row r="4" spans="1:11" ht="156" customHeight="1" x14ac:dyDescent="0.4">
      <c r="A4" s="39" t="s">
        <v>26</v>
      </c>
      <c r="B4" s="39" t="str">
        <f>IACriteria[[#This Row],[Criteria Sequence]]&amp;"."&amp;IACriteria[[#This Row],[Maturity Level '#]]</f>
        <v>Level 3.3</v>
      </c>
      <c r="C4" s="84" t="str">
        <f t="shared" si="0"/>
        <v>Level 3</v>
      </c>
      <c r="D4" s="28" t="s">
        <v>2</v>
      </c>
      <c r="E4" s="37" t="s">
        <v>628</v>
      </c>
      <c r="F4" s="31" t="s">
        <v>629</v>
      </c>
      <c r="G4" s="31" t="s">
        <v>630</v>
      </c>
      <c r="H4" s="90" t="str">
        <f>VLOOKUP(IACriteria[[#This Row],[Criteria Dimension]],Table5[#All],2,FALSE)</f>
        <v>Does the information used to support this capability have documented data quality rules and measures that are accessible to stakeholders and help ensure that the information is fit for use?</v>
      </c>
      <c r="I4" s="84" t="str">
        <f>VLOOKUP(IACriteria[[#This Row],[Criteria Dimension]],Table5[#All],3,FALSE)</f>
        <v>Data Quality</v>
      </c>
      <c r="K4" s="85">
        <f>VLOOKUP(IACriteria[[#This Row],[Maturity Level]],Table11[#All],4,FALSE)</f>
        <v>3</v>
      </c>
    </row>
    <row r="5" spans="1:11" ht="156" customHeight="1" x14ac:dyDescent="0.4">
      <c r="A5" s="39" t="s">
        <v>26</v>
      </c>
      <c r="B5" s="39" t="str">
        <f>IACriteria[[#This Row],[Criteria Sequence]]&amp;"."&amp;IACriteria[[#This Row],[Maturity Level '#]]</f>
        <v>Level 4.4</v>
      </c>
      <c r="C5" s="84" t="str">
        <f t="shared" si="0"/>
        <v>Level 4</v>
      </c>
      <c r="D5" s="28" t="s">
        <v>3</v>
      </c>
      <c r="E5" s="29" t="s">
        <v>29</v>
      </c>
      <c r="F5" s="31" t="s">
        <v>731</v>
      </c>
      <c r="G5" s="35" t="s">
        <v>732</v>
      </c>
      <c r="H5" s="90" t="str">
        <f>VLOOKUP(IACriteria[[#This Row],[Criteria Dimension]],Table5[#All],2,FALSE)</f>
        <v>Does the information used to support this capability have documented data quality rules and measures that are accessible to stakeholders and help ensure that the information is fit for use?</v>
      </c>
      <c r="I5" s="84" t="str">
        <f>VLOOKUP(IACriteria[[#This Row],[Criteria Dimension]],Table5[#All],3,FALSE)</f>
        <v>Data Quality</v>
      </c>
      <c r="K5" s="85">
        <f>VLOOKUP(IACriteria[[#This Row],[Maturity Level]],Table11[#All],4,FALSE)</f>
        <v>4</v>
      </c>
    </row>
    <row r="6" spans="1:11" ht="156" customHeight="1" x14ac:dyDescent="0.4">
      <c r="A6" s="39" t="s">
        <v>26</v>
      </c>
      <c r="B6" s="39" t="str">
        <f>IACriteria[[#This Row],[Criteria Sequence]]&amp;"."&amp;IACriteria[[#This Row],[Maturity Level '#]]</f>
        <v>Level 5.5</v>
      </c>
      <c r="C6" s="84" t="str">
        <f t="shared" si="0"/>
        <v>Level 5</v>
      </c>
      <c r="D6" s="28" t="s">
        <v>4</v>
      </c>
      <c r="E6" s="29" t="s">
        <v>30</v>
      </c>
      <c r="F6" s="31" t="s">
        <v>631</v>
      </c>
      <c r="G6" s="30" t="s">
        <v>632</v>
      </c>
      <c r="H6" s="90" t="str">
        <f>VLOOKUP(IACriteria[[#This Row],[Criteria Dimension]],Table5[#All],2,FALSE)</f>
        <v>Does the information used to support this capability have documented data quality rules and measures that are accessible to stakeholders and help ensure that the information is fit for use?</v>
      </c>
      <c r="I6" s="84" t="str">
        <f>VLOOKUP(IACriteria[[#This Row],[Criteria Dimension]],Table5[#All],3,FALSE)</f>
        <v>Data Quality</v>
      </c>
      <c r="K6" s="85">
        <f>VLOOKUP(IACriteria[[#This Row],[Maturity Level]],Table11[#All],4,FALSE)</f>
        <v>5</v>
      </c>
    </row>
    <row r="7" spans="1:11" ht="156" customHeight="1" x14ac:dyDescent="0.4">
      <c r="A7" s="66" t="s">
        <v>31</v>
      </c>
      <c r="B7" s="66" t="str">
        <f>IACriteria[[#This Row],[Criteria Sequence]]&amp;"."&amp;IACriteria[[#This Row],[Maturity Level '#]]</f>
        <v>Level 1.1</v>
      </c>
      <c r="C7" s="84" t="str">
        <f t="shared" si="0"/>
        <v>Level 1</v>
      </c>
      <c r="D7" s="29" t="s">
        <v>0</v>
      </c>
      <c r="E7" s="29" t="s">
        <v>32</v>
      </c>
      <c r="F7" s="28"/>
      <c r="G7" s="28"/>
      <c r="H7" s="90" t="str">
        <f>VLOOKUP(IACriteria[[#This Row],[Criteria Dimension]],Table5[#All],2,FALSE)</f>
        <v>Is the information used to support this capability classified  so that stakeholders can understand any security or privacy requirements associated with the access and use of the information?</v>
      </c>
      <c r="I7" s="84" t="str">
        <f>VLOOKUP(IACriteria[[#This Row],[Criteria Dimension]],Table5[#All],3,FALSE)</f>
        <v>Data Security &amp; Privacy</v>
      </c>
      <c r="K7" s="85">
        <f>VLOOKUP(IACriteria[[#This Row],[Maturity Level]],Table11[#All],4,FALSE)</f>
        <v>1</v>
      </c>
    </row>
    <row r="8" spans="1:11" ht="156" customHeight="1" x14ac:dyDescent="0.4">
      <c r="A8" s="66" t="s">
        <v>31</v>
      </c>
      <c r="B8" s="66" t="str">
        <f>IACriteria[[#This Row],[Criteria Sequence]]&amp;"."&amp;IACriteria[[#This Row],[Maturity Level '#]]</f>
        <v>Level 2.2</v>
      </c>
      <c r="C8" s="84" t="str">
        <f t="shared" si="0"/>
        <v>Level 2</v>
      </c>
      <c r="D8" s="28" t="s">
        <v>1</v>
      </c>
      <c r="E8" s="29" t="s">
        <v>739</v>
      </c>
      <c r="F8" s="31" t="s">
        <v>740</v>
      </c>
      <c r="G8" s="31" t="s">
        <v>633</v>
      </c>
      <c r="H8" s="90" t="str">
        <f>VLOOKUP(IACriteria[[#This Row],[Criteria Dimension]],Table5[#All],2,FALSE)</f>
        <v>Is the information used to support this capability classified  so that stakeholders can understand any security or privacy requirements associated with the access and use of the information?</v>
      </c>
      <c r="I8" s="84" t="str">
        <f>VLOOKUP(IACriteria[[#This Row],[Criteria Dimension]],Table5[#All],3,FALSE)</f>
        <v>Data Security &amp; Privacy</v>
      </c>
      <c r="K8" s="85">
        <f>VLOOKUP(IACriteria[[#This Row],[Maturity Level]],Table11[#All],4,FALSE)</f>
        <v>2</v>
      </c>
    </row>
    <row r="9" spans="1:11" ht="126" customHeight="1" x14ac:dyDescent="0.4">
      <c r="A9" s="66" t="s">
        <v>31</v>
      </c>
      <c r="B9" s="66" t="str">
        <f>IACriteria[[#This Row],[Criteria Sequence]]&amp;"."&amp;IACriteria[[#This Row],[Maturity Level '#]]</f>
        <v>Level 3.3</v>
      </c>
      <c r="C9" s="84" t="str">
        <f t="shared" si="0"/>
        <v>Level 3</v>
      </c>
      <c r="D9" s="28" t="s">
        <v>2</v>
      </c>
      <c r="E9" s="29" t="s">
        <v>742</v>
      </c>
      <c r="F9" s="31" t="s">
        <v>741</v>
      </c>
      <c r="G9" s="31" t="s">
        <v>634</v>
      </c>
      <c r="H9" s="90" t="str">
        <f>VLOOKUP(IACriteria[[#This Row],[Criteria Dimension]],Table5[#All],2,FALSE)</f>
        <v>Is the information used to support this capability classified  so that stakeholders can understand any security or privacy requirements associated with the access and use of the information?</v>
      </c>
      <c r="I9" s="84" t="str">
        <f>VLOOKUP(IACriteria[[#This Row],[Criteria Dimension]],Table5[#All],3,FALSE)</f>
        <v>Data Security &amp; Privacy</v>
      </c>
      <c r="K9" s="85">
        <f>VLOOKUP(IACriteria[[#This Row],[Maturity Level]],Table11[#All],4,FALSE)</f>
        <v>3</v>
      </c>
    </row>
    <row r="10" spans="1:11" ht="126" customHeight="1" x14ac:dyDescent="0.4">
      <c r="A10" s="66" t="s">
        <v>31</v>
      </c>
      <c r="B10" s="66" t="str">
        <f>IACriteria[[#This Row],[Criteria Sequence]]&amp;"."&amp;IACriteria[[#This Row],[Maturity Level '#]]</f>
        <v>Level 4.4</v>
      </c>
      <c r="C10" s="84" t="str">
        <f t="shared" si="0"/>
        <v>Level 4</v>
      </c>
      <c r="D10" s="28" t="s">
        <v>3</v>
      </c>
      <c r="E10" s="29" t="s">
        <v>743</v>
      </c>
      <c r="F10" s="35" t="s">
        <v>744</v>
      </c>
      <c r="G10" s="35" t="s">
        <v>733</v>
      </c>
      <c r="H10" s="90" t="str">
        <f>VLOOKUP(IACriteria[[#This Row],[Criteria Dimension]],Table5[#All],2,FALSE)</f>
        <v>Is the information used to support this capability classified  so that stakeholders can understand any security or privacy requirements associated with the access and use of the information?</v>
      </c>
      <c r="I10" s="84" t="str">
        <f>VLOOKUP(IACriteria[[#This Row],[Criteria Dimension]],Table5[#All],3,FALSE)</f>
        <v>Data Security &amp; Privacy</v>
      </c>
      <c r="K10" s="85">
        <f>VLOOKUP(IACriteria[[#This Row],[Maturity Level]],Table11[#All],4,FALSE)</f>
        <v>4</v>
      </c>
    </row>
    <row r="11" spans="1:11" ht="192.75" customHeight="1" x14ac:dyDescent="0.4">
      <c r="A11" s="66" t="s">
        <v>31</v>
      </c>
      <c r="B11" s="66" t="str">
        <f>IACriteria[[#This Row],[Criteria Sequence]]&amp;"."&amp;IACriteria[[#This Row],[Maturity Level '#]]</f>
        <v>Level 5.5</v>
      </c>
      <c r="C11" s="84" t="str">
        <f t="shared" si="0"/>
        <v>Level 5</v>
      </c>
      <c r="D11" s="28" t="s">
        <v>4</v>
      </c>
      <c r="E11" s="29" t="s">
        <v>746</v>
      </c>
      <c r="F11" s="31" t="s">
        <v>745</v>
      </c>
      <c r="G11" s="35" t="s">
        <v>747</v>
      </c>
      <c r="H11" s="90" t="str">
        <f>VLOOKUP(IACriteria[[#This Row],[Criteria Dimension]],Table5[#All],2,FALSE)</f>
        <v>Is the information used to support this capability classified  so that stakeholders can understand any security or privacy requirements associated with the access and use of the information?</v>
      </c>
      <c r="I11" s="84" t="str">
        <f>VLOOKUP(IACriteria[[#This Row],[Criteria Dimension]],Table5[#All],3,FALSE)</f>
        <v>Data Security &amp; Privacy</v>
      </c>
      <c r="K11" s="85">
        <f>VLOOKUP(IACriteria[[#This Row],[Maturity Level]],Table11[#All],4,FALSE)</f>
        <v>5</v>
      </c>
    </row>
    <row r="12" spans="1:11" ht="192.75" customHeight="1" x14ac:dyDescent="0.4">
      <c r="A12" s="39" t="s">
        <v>33</v>
      </c>
      <c r="B12" s="39" t="str">
        <f>IACriteria[[#This Row],[Criteria Sequence]]&amp;"."&amp;IACriteria[[#This Row],[Maturity Level '#]]</f>
        <v>Level 1.1</v>
      </c>
      <c r="C12" s="84" t="str">
        <f t="shared" si="0"/>
        <v>Level 1</v>
      </c>
      <c r="D12" s="29" t="s">
        <v>0</v>
      </c>
      <c r="E12" s="29" t="s">
        <v>734</v>
      </c>
      <c r="F12" s="29"/>
      <c r="G12" s="28"/>
      <c r="H12" s="90" t="str">
        <f>VLOOKUP(IACriteria[[#This Row],[Criteria Dimension]],Table5[#All],2,FALSE)</f>
        <v>Is there advanced statistical analysis that is performed and used by stakeholders for decision-making to support this capability?</v>
      </c>
      <c r="I12" s="84" t="str">
        <f>VLOOKUP(IACriteria[[#This Row],[Criteria Dimension]],Table5[#All],3,FALSE)</f>
        <v>Business Intelligence &amp; Data Science</v>
      </c>
      <c r="K12" s="85">
        <f>VLOOKUP(IACriteria[[#This Row],[Maturity Level]],Table11[#All],4,FALSE)</f>
        <v>1</v>
      </c>
    </row>
    <row r="13" spans="1:11" ht="192.75" customHeight="1" x14ac:dyDescent="0.4">
      <c r="A13" s="39" t="s">
        <v>33</v>
      </c>
      <c r="B13" s="39" t="str">
        <f>IACriteria[[#This Row],[Criteria Sequence]]&amp;"."&amp;IACriteria[[#This Row],[Maturity Level '#]]</f>
        <v>Level 2.2</v>
      </c>
      <c r="C13" s="84" t="str">
        <f t="shared" si="0"/>
        <v>Level 2</v>
      </c>
      <c r="D13" s="28" t="s">
        <v>1</v>
      </c>
      <c r="E13" s="29" t="s">
        <v>735</v>
      </c>
      <c r="F13" s="31" t="s">
        <v>736</v>
      </c>
      <c r="G13" s="31" t="s">
        <v>635</v>
      </c>
      <c r="H13" s="90" t="str">
        <f>VLOOKUP(IACriteria[[#This Row],[Criteria Dimension]],Table5[#All],2,FALSE)</f>
        <v>Is there advanced statistical analysis that is performed and used by stakeholders for decision-making to support this capability?</v>
      </c>
      <c r="I13" s="84" t="str">
        <f>VLOOKUP(IACriteria[[#This Row],[Criteria Dimension]],Table5[#All],3,FALSE)</f>
        <v>Business Intelligence &amp; Data Science</v>
      </c>
      <c r="K13" s="85">
        <f>VLOOKUP(IACriteria[[#This Row],[Maturity Level]],Table11[#All],4,FALSE)</f>
        <v>2</v>
      </c>
    </row>
    <row r="14" spans="1:11" ht="112" x14ac:dyDescent="0.4">
      <c r="A14" s="39" t="s">
        <v>33</v>
      </c>
      <c r="B14" s="39" t="str">
        <f>IACriteria[[#This Row],[Criteria Sequence]]&amp;"."&amp;IACriteria[[#This Row],[Maturity Level '#]]</f>
        <v>Level 3.3</v>
      </c>
      <c r="C14" s="84" t="str">
        <f t="shared" si="0"/>
        <v>Level 3</v>
      </c>
      <c r="D14" s="28" t="s">
        <v>2</v>
      </c>
      <c r="E14" s="29" t="s">
        <v>636</v>
      </c>
      <c r="F14" s="31" t="s">
        <v>737</v>
      </c>
      <c r="G14" s="31" t="s">
        <v>637</v>
      </c>
      <c r="H14" s="90" t="str">
        <f>VLOOKUP(IACriteria[[#This Row],[Criteria Dimension]],Table5[#All],2,FALSE)</f>
        <v>Is there advanced statistical analysis that is performed and used by stakeholders for decision-making to support this capability?</v>
      </c>
      <c r="I14" s="84" t="str">
        <f>VLOOKUP(IACriteria[[#This Row],[Criteria Dimension]],Table5[#All],3,FALSE)</f>
        <v>Business Intelligence &amp; Data Science</v>
      </c>
      <c r="K14" s="85">
        <f>VLOOKUP(IACriteria[[#This Row],[Maturity Level]],Table11[#All],4,FALSE)</f>
        <v>3</v>
      </c>
    </row>
    <row r="15" spans="1:11" ht="128" x14ac:dyDescent="0.4">
      <c r="A15" s="39" t="s">
        <v>33</v>
      </c>
      <c r="B15" s="39" t="str">
        <f>IACriteria[[#This Row],[Criteria Sequence]]&amp;"."&amp;IACriteria[[#This Row],[Maturity Level '#]]</f>
        <v>Level 4.4</v>
      </c>
      <c r="C15" s="84" t="str">
        <f t="shared" si="0"/>
        <v>Level 4</v>
      </c>
      <c r="D15" s="28" t="s">
        <v>3</v>
      </c>
      <c r="E15" s="29" t="s">
        <v>707</v>
      </c>
      <c r="F15" s="31" t="s">
        <v>638</v>
      </c>
      <c r="G15" s="31" t="s">
        <v>708</v>
      </c>
      <c r="H15" s="90" t="str">
        <f>VLOOKUP(IACriteria[[#This Row],[Criteria Dimension]],Table5[#All],2,FALSE)</f>
        <v>Is there advanced statistical analysis that is performed and used by stakeholders for decision-making to support this capability?</v>
      </c>
      <c r="I15" s="84" t="str">
        <f>VLOOKUP(IACriteria[[#This Row],[Criteria Dimension]],Table5[#All],3,FALSE)</f>
        <v>Business Intelligence &amp; Data Science</v>
      </c>
      <c r="K15" s="85">
        <f>VLOOKUP(IACriteria[[#This Row],[Maturity Level]],Table11[#All],4,FALSE)</f>
        <v>4</v>
      </c>
    </row>
    <row r="16" spans="1:11" ht="208" x14ac:dyDescent="0.4">
      <c r="A16" s="39" t="s">
        <v>33</v>
      </c>
      <c r="B16" s="39" t="str">
        <f>IACriteria[[#This Row],[Criteria Sequence]]&amp;"."&amp;IACriteria[[#This Row],[Maturity Level '#]]</f>
        <v>Level 5.5</v>
      </c>
      <c r="C16" s="84" t="str">
        <f t="shared" si="0"/>
        <v>Level 5</v>
      </c>
      <c r="D16" s="28" t="s">
        <v>4</v>
      </c>
      <c r="E16" s="29" t="s">
        <v>639</v>
      </c>
      <c r="F16" s="31" t="s">
        <v>640</v>
      </c>
      <c r="G16" s="31" t="s">
        <v>709</v>
      </c>
      <c r="H16" s="90" t="str">
        <f>VLOOKUP(IACriteria[[#This Row],[Criteria Dimension]],Table5[#All],2,FALSE)</f>
        <v>Is there advanced statistical analysis that is performed and used by stakeholders for decision-making to support this capability?</v>
      </c>
      <c r="I16" s="84" t="str">
        <f>VLOOKUP(IACriteria[[#This Row],[Criteria Dimension]],Table5[#All],3,FALSE)</f>
        <v>Business Intelligence &amp; Data Science</v>
      </c>
      <c r="K16" s="85">
        <f>VLOOKUP(IACriteria[[#This Row],[Maturity Level]],Table11[#All],4,FALSE)</f>
        <v>5</v>
      </c>
    </row>
    <row r="17" spans="1:11" ht="64" x14ac:dyDescent="0.4">
      <c r="A17" s="40" t="s">
        <v>34</v>
      </c>
      <c r="B17" s="40" t="str">
        <f>IACriteria[[#This Row],[Criteria Sequence]]&amp;"."&amp;IACriteria[[#This Row],[Maturity Level '#]]</f>
        <v>Level 1.1</v>
      </c>
      <c r="C17" s="84" t="str">
        <f t="shared" si="0"/>
        <v>Level 1</v>
      </c>
      <c r="D17" s="29" t="s">
        <v>0</v>
      </c>
      <c r="E17" s="36" t="s">
        <v>35</v>
      </c>
      <c r="F17" s="31"/>
      <c r="G17" s="28"/>
      <c r="H17" s="90" t="str">
        <f>VLOOKUP(IACriteria[[#This Row],[Criteria Dimension]],Table5[#All],2,FALSE)</f>
        <v>Is the movement and transformation of information that is exchanged with trading partners to support this capability tracked and does it adhere to structure data standards?</v>
      </c>
      <c r="I17" s="84" t="str">
        <f>VLOOKUP(IACriteria[[#This Row],[Criteria Dimension]],Table5[#All],3,FALSE)</f>
        <v>Data Integration and Interoperability</v>
      </c>
      <c r="K17" s="85">
        <f>VLOOKUP(IACriteria[[#This Row],[Maturity Level]],Table11[#All],4,FALSE)</f>
        <v>1</v>
      </c>
    </row>
    <row r="18" spans="1:11" ht="80" x14ac:dyDescent="0.4">
      <c r="A18" s="40" t="s">
        <v>34</v>
      </c>
      <c r="B18" s="40" t="str">
        <f>IACriteria[[#This Row],[Criteria Sequence]]&amp;"."&amp;IACriteria[[#This Row],[Maturity Level '#]]</f>
        <v>Level 2.2</v>
      </c>
      <c r="C18" s="84" t="str">
        <f t="shared" si="0"/>
        <v>Level 2</v>
      </c>
      <c r="D18" s="28" t="s">
        <v>1</v>
      </c>
      <c r="E18" s="36" t="s">
        <v>36</v>
      </c>
      <c r="F18" s="31" t="s">
        <v>710</v>
      </c>
      <c r="G18" s="31" t="s">
        <v>641</v>
      </c>
      <c r="H18" s="90" t="str">
        <f>VLOOKUP(IACriteria[[#This Row],[Criteria Dimension]],Table5[#All],2,FALSE)</f>
        <v>Is the movement and transformation of information that is exchanged with trading partners to support this capability tracked and does it adhere to structure data standards?</v>
      </c>
      <c r="I18" s="84" t="str">
        <f>VLOOKUP(IACriteria[[#This Row],[Criteria Dimension]],Table5[#All],3,FALSE)</f>
        <v>Data Integration and Interoperability</v>
      </c>
      <c r="K18" s="85">
        <f>VLOOKUP(IACriteria[[#This Row],[Maturity Level]],Table11[#All],4,FALSE)</f>
        <v>2</v>
      </c>
    </row>
    <row r="19" spans="1:11" ht="96" x14ac:dyDescent="0.4">
      <c r="A19" s="40" t="s">
        <v>34</v>
      </c>
      <c r="B19" s="40" t="str">
        <f>IACriteria[[#This Row],[Criteria Sequence]]&amp;"."&amp;IACriteria[[#This Row],[Maturity Level '#]]</f>
        <v>Level 3.3</v>
      </c>
      <c r="C19" s="84" t="str">
        <f t="shared" si="0"/>
        <v>Level 3</v>
      </c>
      <c r="D19" s="28" t="s">
        <v>2</v>
      </c>
      <c r="E19" s="33" t="s">
        <v>37</v>
      </c>
      <c r="F19" s="35" t="s">
        <v>642</v>
      </c>
      <c r="G19" s="31" t="s">
        <v>643</v>
      </c>
      <c r="H19" s="91" t="str">
        <f>VLOOKUP(IACriteria[[#This Row],[Criteria Dimension]],Table5[#All],2,FALSE)</f>
        <v>Is the movement and transformation of information that is exchanged with trading partners to support this capability tracked and does it adhere to structure data standards?</v>
      </c>
      <c r="I19" s="84" t="str">
        <f>VLOOKUP(IACriteria[[#This Row],[Criteria Dimension]],Table5[#All],3,FALSE)</f>
        <v>Data Integration and Interoperability</v>
      </c>
      <c r="K19" s="85">
        <f>VLOOKUP(IACriteria[[#This Row],[Maturity Level]],Table11[#All],4,FALSE)</f>
        <v>3</v>
      </c>
    </row>
    <row r="20" spans="1:11" ht="192" x14ac:dyDescent="0.4">
      <c r="A20" s="40" t="s">
        <v>34</v>
      </c>
      <c r="B20" s="40" t="str">
        <f>IACriteria[[#This Row],[Criteria Sequence]]&amp;"."&amp;IACriteria[[#This Row],[Maturity Level '#]]</f>
        <v>Level 4.4</v>
      </c>
      <c r="C20" s="84" t="str">
        <f t="shared" si="0"/>
        <v>Level 4</v>
      </c>
      <c r="D20" s="28" t="s">
        <v>3</v>
      </c>
      <c r="E20" s="33" t="s">
        <v>644</v>
      </c>
      <c r="F20" s="35" t="s">
        <v>645</v>
      </c>
      <c r="G20" s="35" t="s">
        <v>749</v>
      </c>
      <c r="H20" s="91" t="str">
        <f>VLOOKUP(IACriteria[[#This Row],[Criteria Dimension]],Table5[#All],2,FALSE)</f>
        <v>Is the movement and transformation of information that is exchanged with trading partners to support this capability tracked and does it adhere to structure data standards?</v>
      </c>
      <c r="I20" s="84" t="str">
        <f>VLOOKUP(IACriteria[[#This Row],[Criteria Dimension]],Table5[#All],3,FALSE)</f>
        <v>Data Integration and Interoperability</v>
      </c>
      <c r="K20" s="85">
        <f>VLOOKUP(IACriteria[[#This Row],[Maturity Level]],Table11[#All],4,FALSE)</f>
        <v>4</v>
      </c>
    </row>
    <row r="21" spans="1:11" ht="208" x14ac:dyDescent="0.4">
      <c r="A21" s="40" t="s">
        <v>34</v>
      </c>
      <c r="B21" s="40" t="str">
        <f>IACriteria[[#This Row],[Criteria Sequence]]&amp;"."&amp;IACriteria[[#This Row],[Maturity Level '#]]</f>
        <v>Level 5.5</v>
      </c>
      <c r="C21" s="84" t="str">
        <f t="shared" si="0"/>
        <v>Level 5</v>
      </c>
      <c r="D21" s="28" t="s">
        <v>4</v>
      </c>
      <c r="E21" s="35" t="s">
        <v>38</v>
      </c>
      <c r="F21" s="31" t="s">
        <v>646</v>
      </c>
      <c r="G21" s="30" t="s">
        <v>647</v>
      </c>
      <c r="H21" s="91" t="str">
        <f>VLOOKUP(IACriteria[[#This Row],[Criteria Dimension]],Table5[#All],2,FALSE)</f>
        <v>Is the movement and transformation of information that is exchanged with trading partners to support this capability tracked and does it adhere to structure data standards?</v>
      </c>
      <c r="I21" s="84" t="str">
        <f>VLOOKUP(IACriteria[[#This Row],[Criteria Dimension]],Table5[#All],3,FALSE)</f>
        <v>Data Integration and Interoperability</v>
      </c>
      <c r="K21" s="85">
        <f>VLOOKUP(IACriteria[[#This Row],[Maturity Level]],Table11[#All],4,FALSE)</f>
        <v>5</v>
      </c>
    </row>
    <row r="22" spans="1:11" ht="48" x14ac:dyDescent="0.4">
      <c r="A22" s="117" t="s">
        <v>39</v>
      </c>
      <c r="B22" s="117" t="str">
        <f>IACriteria[[#This Row],[Criteria Sequence]]&amp;"."&amp;IACriteria[[#This Row],[Maturity Level '#]]</f>
        <v>Level 1.1</v>
      </c>
      <c r="C22" s="118" t="str">
        <f t="shared" si="0"/>
        <v>Level 1</v>
      </c>
      <c r="D22" s="119" t="s">
        <v>0</v>
      </c>
      <c r="E22" s="113" t="s">
        <v>40</v>
      </c>
      <c r="F22" s="113"/>
      <c r="G22" s="113"/>
      <c r="H22" s="120" t="str">
        <f>VLOOKUP(IACriteria[[#This Row],[Criteria Dimension]],Table5[#All],2,FALSE)</f>
        <v>Are the reports that are created to support this capability documented and traceable to the specific data used to create each report?</v>
      </c>
      <c r="I22" s="118" t="str">
        <f>VLOOKUP(IACriteria[[#This Row],[Criteria Dimension]],Table5[#All],3,FALSE)</f>
        <v>Business Intelligence &amp; Data Science</v>
      </c>
      <c r="J22" s="121"/>
      <c r="K22" s="85">
        <f>VLOOKUP(IACriteria[[#This Row],[Maturity Level]],Table11[#All],4,FALSE)</f>
        <v>1</v>
      </c>
    </row>
    <row r="23" spans="1:11" ht="192" x14ac:dyDescent="0.4">
      <c r="A23" s="117" t="s">
        <v>39</v>
      </c>
      <c r="B23" s="117" t="str">
        <f>IACriteria[[#This Row],[Criteria Sequence]]&amp;"."&amp;IACriteria[[#This Row],[Maturity Level '#]]</f>
        <v>Level 2.2</v>
      </c>
      <c r="C23" s="118" t="str">
        <f t="shared" si="0"/>
        <v>Level 2</v>
      </c>
      <c r="D23" s="119" t="s">
        <v>1</v>
      </c>
      <c r="E23" s="114" t="s">
        <v>41</v>
      </c>
      <c r="F23" s="115" t="s">
        <v>711</v>
      </c>
      <c r="G23" s="116" t="s">
        <v>648</v>
      </c>
      <c r="H23" s="120" t="str">
        <f>VLOOKUP(IACriteria[[#This Row],[Criteria Dimension]],Table5[#All],2,FALSE)</f>
        <v>Are the reports that are created to support this capability documented and traceable to the specific data used to create each report?</v>
      </c>
      <c r="I23" s="118" t="str">
        <f>VLOOKUP(IACriteria[[#This Row],[Criteria Dimension]],Table5[#All],3,FALSE)</f>
        <v>Business Intelligence &amp; Data Science</v>
      </c>
      <c r="J23" s="121"/>
      <c r="K23" s="85">
        <f>VLOOKUP(IACriteria[[#This Row],[Maturity Level]],Table11[#All],4,FALSE)</f>
        <v>2</v>
      </c>
    </row>
    <row r="24" spans="1:11" ht="112" x14ac:dyDescent="0.4">
      <c r="A24" s="117" t="s">
        <v>39</v>
      </c>
      <c r="B24" s="117" t="str">
        <f>IACriteria[[#This Row],[Criteria Sequence]]&amp;"."&amp;IACriteria[[#This Row],[Maturity Level '#]]</f>
        <v>Level 3.3</v>
      </c>
      <c r="C24" s="118" t="str">
        <f t="shared" si="0"/>
        <v>Level 3</v>
      </c>
      <c r="D24" s="119" t="s">
        <v>2</v>
      </c>
      <c r="E24" s="114" t="s">
        <v>649</v>
      </c>
      <c r="F24" s="116" t="s">
        <v>712</v>
      </c>
      <c r="G24" s="116" t="s">
        <v>650</v>
      </c>
      <c r="H24" s="120" t="str">
        <f>VLOOKUP(IACriteria[[#This Row],[Criteria Dimension]],Table5[#All],2,FALSE)</f>
        <v>Are the reports that are created to support this capability documented and traceable to the specific data used to create each report?</v>
      </c>
      <c r="I24" s="118" t="str">
        <f>VLOOKUP(IACriteria[[#This Row],[Criteria Dimension]],Table5[#All],3,FALSE)</f>
        <v>Business Intelligence &amp; Data Science</v>
      </c>
      <c r="J24" s="121"/>
      <c r="K24" s="85">
        <f>VLOOKUP(IACriteria[[#This Row],[Maturity Level]],Table11[#All],4,FALSE)</f>
        <v>3</v>
      </c>
    </row>
    <row r="25" spans="1:11" ht="96" x14ac:dyDescent="0.4">
      <c r="A25" s="117" t="s">
        <v>39</v>
      </c>
      <c r="B25" s="117" t="str">
        <f>IACriteria[[#This Row],[Criteria Sequence]]&amp;"."&amp;IACriteria[[#This Row],[Maturity Level '#]]</f>
        <v>Level 4.4</v>
      </c>
      <c r="C25" s="118" t="str">
        <f t="shared" si="0"/>
        <v>Level 4</v>
      </c>
      <c r="D25" s="119" t="s">
        <v>3</v>
      </c>
      <c r="E25" s="113" t="s">
        <v>651</v>
      </c>
      <c r="F25" s="116" t="s">
        <v>652</v>
      </c>
      <c r="G25" s="116" t="s">
        <v>713</v>
      </c>
      <c r="H25" s="120" t="str">
        <f>VLOOKUP(IACriteria[[#This Row],[Criteria Dimension]],Table5[#All],2,FALSE)</f>
        <v>Are the reports that are created to support this capability documented and traceable to the specific data used to create each report?</v>
      </c>
      <c r="I25" s="118" t="str">
        <f>VLOOKUP(IACriteria[[#This Row],[Criteria Dimension]],Table5[#All],3,FALSE)</f>
        <v>Business Intelligence &amp; Data Science</v>
      </c>
      <c r="J25" s="121"/>
      <c r="K25" s="85">
        <f>VLOOKUP(IACriteria[[#This Row],[Maturity Level]],Table11[#All],4,FALSE)</f>
        <v>4</v>
      </c>
    </row>
    <row r="26" spans="1:11" ht="208" x14ac:dyDescent="0.4">
      <c r="A26" s="117" t="s">
        <v>39</v>
      </c>
      <c r="B26" s="117" t="str">
        <f>IACriteria[[#This Row],[Criteria Sequence]]&amp;"."&amp;IACriteria[[#This Row],[Maturity Level '#]]</f>
        <v>Level 5.5</v>
      </c>
      <c r="C26" s="118" t="str">
        <f t="shared" si="0"/>
        <v>Level 5</v>
      </c>
      <c r="D26" s="119" t="s">
        <v>4</v>
      </c>
      <c r="E26" s="113" t="s">
        <v>42</v>
      </c>
      <c r="F26" s="115" t="s">
        <v>653</v>
      </c>
      <c r="G26" s="116" t="s">
        <v>654</v>
      </c>
      <c r="H26" s="120" t="str">
        <f>VLOOKUP(IACriteria[[#This Row],[Criteria Dimension]],Table5[#All],2,FALSE)</f>
        <v>Are the reports that are created to support this capability documented and traceable to the specific data used to create each report?</v>
      </c>
      <c r="I26" s="118" t="str">
        <f>VLOOKUP(IACriteria[[#This Row],[Criteria Dimension]],Table5[#All],3,FALSE)</f>
        <v>Business Intelligence &amp; Data Science</v>
      </c>
      <c r="J26" s="121"/>
      <c r="K26" s="85">
        <f>VLOOKUP(IACriteria[[#This Row],[Maturity Level]],Table11[#All],4,FALSE)</f>
        <v>5</v>
      </c>
    </row>
    <row r="27" spans="1:11" ht="80" x14ac:dyDescent="0.4">
      <c r="A27" s="40" t="s">
        <v>43</v>
      </c>
      <c r="B27" s="40" t="str">
        <f>IACriteria[[#This Row],[Criteria Sequence]]&amp;"."&amp;IACriteria[[#This Row],[Maturity Level '#]]</f>
        <v>Level 1.1</v>
      </c>
      <c r="C27" s="84" t="str">
        <f t="shared" si="0"/>
        <v>Level 1</v>
      </c>
      <c r="D27" s="29" t="s">
        <v>0</v>
      </c>
      <c r="E27" s="33" t="s">
        <v>714</v>
      </c>
      <c r="F27" s="30"/>
      <c r="G27" s="30"/>
      <c r="H27" s="91" t="str">
        <f>VLOOKUP(IACriteria[[#This Row],[Criteria Dimension]],Table5[#All],2,FALSE)</f>
        <v xml:space="preserve">Is the unstructured data (e.g. paper documents) that supports this capability organized, controlled and categorized so that it can be stored, published and discovered by stakeholders that need it? </v>
      </c>
      <c r="I27" s="84" t="str">
        <f>VLOOKUP(IACriteria[[#This Row],[Criteria Dimension]],Table5[#All],3,FALSE)</f>
        <v>Document and Content Management</v>
      </c>
      <c r="K27" s="85">
        <f>VLOOKUP(IACriteria[[#This Row],[Maturity Level]],Table11[#All],4,FALSE)</f>
        <v>1</v>
      </c>
    </row>
    <row r="28" spans="1:11" ht="80" x14ac:dyDescent="0.4">
      <c r="A28" s="40" t="s">
        <v>43</v>
      </c>
      <c r="B28" s="40" t="str">
        <f>IACriteria[[#This Row],[Criteria Sequence]]&amp;"."&amp;IACriteria[[#This Row],[Maturity Level '#]]</f>
        <v>Level 2.2</v>
      </c>
      <c r="C28" s="84" t="str">
        <f t="shared" si="0"/>
        <v>Level 2</v>
      </c>
      <c r="D28" s="28" t="s">
        <v>1</v>
      </c>
      <c r="E28" s="33" t="s">
        <v>715</v>
      </c>
      <c r="F28" s="35" t="s">
        <v>655</v>
      </c>
      <c r="G28" s="35" t="s">
        <v>748</v>
      </c>
      <c r="H28" s="91" t="str">
        <f>VLOOKUP(IACriteria[[#This Row],[Criteria Dimension]],Table5[#All],2,FALSE)</f>
        <v xml:space="preserve">Is the unstructured data (e.g. paper documents) that supports this capability organized, controlled and categorized so that it can be stored, published and discovered by stakeholders that need it? </v>
      </c>
      <c r="I28" s="84" t="str">
        <f>VLOOKUP(IACriteria[[#This Row],[Criteria Dimension]],Table5[#All],3,FALSE)</f>
        <v>Document and Content Management</v>
      </c>
      <c r="K28" s="85">
        <f>VLOOKUP(IACriteria[[#This Row],[Maturity Level]],Table11[#All],4,FALSE)</f>
        <v>2</v>
      </c>
    </row>
    <row r="29" spans="1:11" ht="80" x14ac:dyDescent="0.4">
      <c r="A29" s="40" t="s">
        <v>43</v>
      </c>
      <c r="B29" s="40" t="str">
        <f>IACriteria[[#This Row],[Criteria Sequence]]&amp;"."&amp;IACriteria[[#This Row],[Maturity Level '#]]</f>
        <v>Level 3.3</v>
      </c>
      <c r="C29" s="84" t="str">
        <f t="shared" si="0"/>
        <v>Level 3</v>
      </c>
      <c r="D29" s="28" t="s">
        <v>2</v>
      </c>
      <c r="E29" s="29" t="s">
        <v>656</v>
      </c>
      <c r="F29" s="35" t="s">
        <v>657</v>
      </c>
      <c r="G29" s="35" t="s">
        <v>750</v>
      </c>
      <c r="H29" s="91" t="str">
        <f>VLOOKUP(IACriteria[[#This Row],[Criteria Dimension]],Table5[#All],2,FALSE)</f>
        <v xml:space="preserve">Is the unstructured data (e.g. paper documents) that supports this capability organized, controlled and categorized so that it can be stored, published and discovered by stakeholders that need it? </v>
      </c>
      <c r="I29" s="84" t="str">
        <f>VLOOKUP(IACriteria[[#This Row],[Criteria Dimension]],Table5[#All],3,FALSE)</f>
        <v>Document and Content Management</v>
      </c>
      <c r="K29" s="85">
        <f>VLOOKUP(IACriteria[[#This Row],[Maturity Level]],Table11[#All],4,FALSE)</f>
        <v>3</v>
      </c>
    </row>
    <row r="30" spans="1:11" ht="144" x14ac:dyDescent="0.4">
      <c r="A30" s="40" t="s">
        <v>43</v>
      </c>
      <c r="B30" s="40" t="str">
        <f>IACriteria[[#This Row],[Criteria Sequence]]&amp;"."&amp;IACriteria[[#This Row],[Maturity Level '#]]</f>
        <v>Level 4.4</v>
      </c>
      <c r="C30" s="84" t="str">
        <f t="shared" si="0"/>
        <v>Level 4</v>
      </c>
      <c r="D30" s="28" t="s">
        <v>3</v>
      </c>
      <c r="E30" s="29" t="s">
        <v>658</v>
      </c>
      <c r="F30" s="35" t="s">
        <v>659</v>
      </c>
      <c r="G30" s="35" t="s">
        <v>751</v>
      </c>
      <c r="H30" s="91" t="str">
        <f>VLOOKUP(IACriteria[[#This Row],[Criteria Dimension]],Table5[#All],2,FALSE)</f>
        <v xml:space="preserve">Is the unstructured data (e.g. paper documents) that supports this capability organized, controlled and categorized so that it can be stored, published and discovered by stakeholders that need it? </v>
      </c>
      <c r="I30" s="84" t="str">
        <f>VLOOKUP(IACriteria[[#This Row],[Criteria Dimension]],Table5[#All],3,FALSE)</f>
        <v>Document and Content Management</v>
      </c>
      <c r="K30" s="85">
        <f>VLOOKUP(IACriteria[[#This Row],[Maturity Level]],Table11[#All],4,FALSE)</f>
        <v>4</v>
      </c>
    </row>
    <row r="31" spans="1:11" ht="208" x14ac:dyDescent="0.4">
      <c r="A31" s="40" t="s">
        <v>43</v>
      </c>
      <c r="B31" s="40" t="str">
        <f>IACriteria[[#This Row],[Criteria Sequence]]&amp;"."&amp;IACriteria[[#This Row],[Maturity Level '#]]</f>
        <v>Level 5.5</v>
      </c>
      <c r="C31" s="84" t="str">
        <f t="shared" si="0"/>
        <v>Level 5</v>
      </c>
      <c r="D31" s="28" t="s">
        <v>4</v>
      </c>
      <c r="E31" s="33" t="s">
        <v>44</v>
      </c>
      <c r="F31" s="31" t="s">
        <v>660</v>
      </c>
      <c r="G31" s="35" t="s">
        <v>661</v>
      </c>
      <c r="H31" s="91" t="str">
        <f>VLOOKUP(IACriteria[[#This Row],[Criteria Dimension]],Table5[#All],2,FALSE)</f>
        <v xml:space="preserve">Is the unstructured data (e.g. paper documents) that supports this capability organized, controlled and categorized so that it can be stored, published and discovered by stakeholders that need it? </v>
      </c>
      <c r="I31" s="84" t="str">
        <f>VLOOKUP(IACriteria[[#This Row],[Criteria Dimension]],Table5[#All],3,FALSE)</f>
        <v>Document and Content Management</v>
      </c>
      <c r="K31" s="85">
        <f>VLOOKUP(IACriteria[[#This Row],[Maturity Level]],Table11[#All],4,FALSE)</f>
        <v>5</v>
      </c>
    </row>
    <row r="32" spans="1:11" ht="80" x14ac:dyDescent="0.4">
      <c r="A32" s="122" t="s">
        <v>45</v>
      </c>
      <c r="B32" s="122" t="str">
        <f>IACriteria[[#This Row],[Criteria Sequence]]&amp;"."&amp;IACriteria[[#This Row],[Maturity Level '#]]</f>
        <v>Level 1.1</v>
      </c>
      <c r="C32" s="118" t="str">
        <f t="shared" si="0"/>
        <v>Level 1</v>
      </c>
      <c r="D32" s="119" t="s">
        <v>0</v>
      </c>
      <c r="E32" s="113" t="s">
        <v>46</v>
      </c>
      <c r="F32" s="113"/>
      <c r="G32" s="113"/>
      <c r="H32" s="120" t="str">
        <f>VLOOKUP(IACriteria[[#This Row],[Criteria Dimension]],Table5[#All],2,FALSE)</f>
        <v>Is the metadata about the information used to support this capability captured, adhere to standards and stored in a central location so that stakeholders can search and discover information that is available for them to use?</v>
      </c>
      <c r="I32" s="118" t="str">
        <f>VLOOKUP(IACriteria[[#This Row],[Criteria Dimension]],Table5[#All],3,FALSE)</f>
        <v>Metadata Management</v>
      </c>
      <c r="J32" s="121"/>
      <c r="K32" s="85">
        <f>VLOOKUP(IACriteria[[#This Row],[Maturity Level]],Table11[#All],4,FALSE)</f>
        <v>1</v>
      </c>
    </row>
    <row r="33" spans="1:11" ht="80" x14ac:dyDescent="0.4">
      <c r="A33" s="122" t="s">
        <v>45</v>
      </c>
      <c r="B33" s="122" t="str">
        <f>IACriteria[[#This Row],[Criteria Sequence]]&amp;"."&amp;IACriteria[[#This Row],[Maturity Level '#]]</f>
        <v>Level 2.2</v>
      </c>
      <c r="C33" s="118" t="str">
        <f t="shared" si="0"/>
        <v>Level 2</v>
      </c>
      <c r="D33" s="119" t="s">
        <v>1</v>
      </c>
      <c r="E33" s="113" t="s">
        <v>662</v>
      </c>
      <c r="F33" s="113"/>
      <c r="G33" s="113"/>
      <c r="H33" s="120" t="str">
        <f>VLOOKUP(IACriteria[[#This Row],[Criteria Dimension]],Table5[#All],2,FALSE)</f>
        <v>Is the metadata about the information used to support this capability captured, adhere to standards and stored in a central location so that stakeholders can search and discover information that is available for them to use?</v>
      </c>
      <c r="I33" s="118" t="str">
        <f>VLOOKUP(IACriteria[[#This Row],[Criteria Dimension]],Table5[#All],3,FALSE)</f>
        <v>Metadata Management</v>
      </c>
      <c r="J33" s="121"/>
      <c r="K33" s="85">
        <f>VLOOKUP(IACriteria[[#This Row],[Maturity Level]],Table11[#All],4,FALSE)</f>
        <v>2</v>
      </c>
    </row>
    <row r="34" spans="1:11" ht="80" x14ac:dyDescent="0.4">
      <c r="A34" s="122" t="s">
        <v>45</v>
      </c>
      <c r="B34" s="122" t="str">
        <f>IACriteria[[#This Row],[Criteria Sequence]]&amp;"."&amp;IACriteria[[#This Row],[Maturity Level '#]]</f>
        <v>Level 3.3</v>
      </c>
      <c r="C34" s="118" t="str">
        <f t="shared" ref="C34:C65" si="1">D34</f>
        <v>Level 3</v>
      </c>
      <c r="D34" s="119" t="s">
        <v>2</v>
      </c>
      <c r="E34" s="113" t="s">
        <v>47</v>
      </c>
      <c r="F34" s="113"/>
      <c r="G34" s="113"/>
      <c r="H34" s="120" t="str">
        <f>VLOOKUP(IACriteria[[#This Row],[Criteria Dimension]],Table5[#All],2,FALSE)</f>
        <v>Is the metadata about the information used to support this capability captured, adhere to standards and stored in a central location so that stakeholders can search and discover information that is available for them to use?</v>
      </c>
      <c r="I34" s="118" t="str">
        <f>VLOOKUP(IACriteria[[#This Row],[Criteria Dimension]],Table5[#All],3,FALSE)</f>
        <v>Metadata Management</v>
      </c>
      <c r="J34" s="121"/>
      <c r="K34" s="85">
        <f>VLOOKUP(IACriteria[[#This Row],[Maturity Level]],Table11[#All],4,FALSE)</f>
        <v>3</v>
      </c>
    </row>
    <row r="35" spans="1:11" ht="96" x14ac:dyDescent="0.4">
      <c r="A35" s="122" t="s">
        <v>45</v>
      </c>
      <c r="B35" s="122" t="str">
        <f>IACriteria[[#This Row],[Criteria Sequence]]&amp;"."&amp;IACriteria[[#This Row],[Maturity Level '#]]</f>
        <v>Level 4.4</v>
      </c>
      <c r="C35" s="118" t="str">
        <f t="shared" si="1"/>
        <v>Level 4</v>
      </c>
      <c r="D35" s="119" t="s">
        <v>3</v>
      </c>
      <c r="E35" s="113" t="s">
        <v>716</v>
      </c>
      <c r="F35" s="113"/>
      <c r="G35" s="113"/>
      <c r="H35" s="120" t="str">
        <f>VLOOKUP(IACriteria[[#This Row],[Criteria Dimension]],Table5[#All],2,FALSE)</f>
        <v>Is the metadata about the information used to support this capability captured, adhere to standards and stored in a central location so that stakeholders can search and discover information that is available for them to use?</v>
      </c>
      <c r="I35" s="118" t="str">
        <f>VLOOKUP(IACriteria[[#This Row],[Criteria Dimension]],Table5[#All],3,FALSE)</f>
        <v>Metadata Management</v>
      </c>
      <c r="J35" s="121"/>
      <c r="K35" s="85">
        <f>VLOOKUP(IACriteria[[#This Row],[Maturity Level]],Table11[#All],4,FALSE)</f>
        <v>4</v>
      </c>
    </row>
    <row r="36" spans="1:11" ht="80" x14ac:dyDescent="0.4">
      <c r="A36" s="122" t="s">
        <v>45</v>
      </c>
      <c r="B36" s="122" t="str">
        <f>IACriteria[[#This Row],[Criteria Sequence]]&amp;"."&amp;IACriteria[[#This Row],[Maturity Level '#]]</f>
        <v>Level 5.5</v>
      </c>
      <c r="C36" s="118" t="str">
        <f t="shared" si="1"/>
        <v>Level 5</v>
      </c>
      <c r="D36" s="119" t="s">
        <v>4</v>
      </c>
      <c r="E36" s="113" t="s">
        <v>48</v>
      </c>
      <c r="F36" s="113"/>
      <c r="G36" s="113"/>
      <c r="H36" s="120" t="str">
        <f>VLOOKUP(IACriteria[[#This Row],[Criteria Dimension]],Table5[#All],2,FALSE)</f>
        <v>Is the metadata about the information used to support this capability captured, adhere to standards and stored in a central location so that stakeholders can search and discover information that is available for them to use?</v>
      </c>
      <c r="I36" s="118" t="str">
        <f>VLOOKUP(IACriteria[[#This Row],[Criteria Dimension]],Table5[#All],3,FALSE)</f>
        <v>Metadata Management</v>
      </c>
      <c r="J36" s="121"/>
      <c r="K36" s="85">
        <f>VLOOKUP(IACriteria[[#This Row],[Maturity Level]],Table11[#All],4,FALSE)</f>
        <v>5</v>
      </c>
    </row>
    <row r="37" spans="1:11" ht="96" x14ac:dyDescent="0.4">
      <c r="A37" s="40" t="s">
        <v>49</v>
      </c>
      <c r="B37" s="40" t="str">
        <f>IACriteria[[#This Row],[Criteria Sequence]]&amp;"."&amp;IACriteria[[#This Row],[Maturity Level '#]]</f>
        <v>Level 1.1</v>
      </c>
      <c r="C37" s="84" t="str">
        <f t="shared" si="1"/>
        <v>Level 1</v>
      </c>
      <c r="D37" s="29" t="s">
        <v>0</v>
      </c>
      <c r="E37" s="35" t="s">
        <v>50</v>
      </c>
      <c r="F37" s="35"/>
      <c r="G37" s="33"/>
      <c r="H37" s="91" t="str">
        <f>VLOOKUP(IACriteria[[#This Row],[Criteria Dimension]],Table5[#All],2,FALSE)</f>
        <v>Are there individuals assigned to data governance roles that actively participate in the governance of the information used to support this capability and are there business terms that describe the meaning of the information documented?</v>
      </c>
      <c r="I37" s="84" t="str">
        <f>VLOOKUP(IACriteria[[#This Row],[Criteria Dimension]],Table5[#All],3,FALSE)</f>
        <v>Data Governance</v>
      </c>
      <c r="K37" s="85">
        <f>VLOOKUP(IACriteria[[#This Row],[Maturity Level]],Table11[#All],4,FALSE)</f>
        <v>1</v>
      </c>
    </row>
    <row r="38" spans="1:11" ht="144" x14ac:dyDescent="0.4">
      <c r="A38" s="40" t="s">
        <v>49</v>
      </c>
      <c r="B38" s="40" t="str">
        <f>IACriteria[[#This Row],[Criteria Sequence]]&amp;"."&amp;IACriteria[[#This Row],[Maturity Level '#]]</f>
        <v>Level 2.2</v>
      </c>
      <c r="C38" s="84" t="str">
        <f t="shared" si="1"/>
        <v>Level 2</v>
      </c>
      <c r="D38" s="28" t="s">
        <v>1</v>
      </c>
      <c r="E38" s="35" t="s">
        <v>717</v>
      </c>
      <c r="F38" s="35" t="s">
        <v>663</v>
      </c>
      <c r="G38" s="35" t="s">
        <v>664</v>
      </c>
      <c r="H38" s="91" t="str">
        <f>VLOOKUP(IACriteria[[#This Row],[Criteria Dimension]],Table5[#All],2,FALSE)</f>
        <v>Are there individuals assigned to data governance roles that actively participate in the governance of the information used to support this capability and are there business terms that describe the meaning of the information documented?</v>
      </c>
      <c r="I38" s="84" t="str">
        <f>VLOOKUP(IACriteria[[#This Row],[Criteria Dimension]],Table5[#All],3,FALSE)</f>
        <v>Data Governance</v>
      </c>
      <c r="K38" s="85">
        <f>VLOOKUP(IACriteria[[#This Row],[Maturity Level]],Table11[#All],4,FALSE)</f>
        <v>2</v>
      </c>
    </row>
    <row r="39" spans="1:11" ht="144" x14ac:dyDescent="0.4">
      <c r="A39" s="40" t="s">
        <v>49</v>
      </c>
      <c r="B39" s="40" t="str">
        <f>IACriteria[[#This Row],[Criteria Sequence]]&amp;"."&amp;IACriteria[[#This Row],[Maturity Level '#]]</f>
        <v>Level 3.3</v>
      </c>
      <c r="C39" s="84" t="str">
        <f t="shared" si="1"/>
        <v>Level 3</v>
      </c>
      <c r="D39" s="28" t="s">
        <v>2</v>
      </c>
      <c r="E39" s="34" t="s">
        <v>718</v>
      </c>
      <c r="F39" s="35" t="s">
        <v>665</v>
      </c>
      <c r="G39" s="35" t="s">
        <v>666</v>
      </c>
      <c r="H39" s="91" t="str">
        <f>VLOOKUP(IACriteria[[#This Row],[Criteria Dimension]],Table5[#All],2,FALSE)</f>
        <v>Are there individuals assigned to data governance roles that actively participate in the governance of the information used to support this capability and are there business terms that describe the meaning of the information documented?</v>
      </c>
      <c r="I39" s="84" t="str">
        <f>VLOOKUP(IACriteria[[#This Row],[Criteria Dimension]],Table5[#All],3,FALSE)</f>
        <v>Data Governance</v>
      </c>
      <c r="K39" s="85">
        <f>VLOOKUP(IACriteria[[#This Row],[Maturity Level]],Table11[#All],4,FALSE)</f>
        <v>3</v>
      </c>
    </row>
    <row r="40" spans="1:11" ht="208" x14ac:dyDescent="0.4">
      <c r="A40" s="40" t="s">
        <v>49</v>
      </c>
      <c r="B40" s="40" t="str">
        <f>IACriteria[[#This Row],[Criteria Sequence]]&amp;"."&amp;IACriteria[[#This Row],[Maturity Level '#]]</f>
        <v>Level 4.4</v>
      </c>
      <c r="C40" s="84" t="str">
        <f t="shared" si="1"/>
        <v>Level 4</v>
      </c>
      <c r="D40" s="28" t="s">
        <v>3</v>
      </c>
      <c r="E40" s="35" t="s">
        <v>667</v>
      </c>
      <c r="F40" s="35" t="s">
        <v>668</v>
      </c>
      <c r="G40" s="35" t="s">
        <v>719</v>
      </c>
      <c r="H40" s="91" t="str">
        <f>VLOOKUP(IACriteria[[#This Row],[Criteria Dimension]],Table5[#All],2,FALSE)</f>
        <v>Are there individuals assigned to data governance roles that actively participate in the governance of the information used to support this capability and are there business terms that describe the meaning of the information documented?</v>
      </c>
      <c r="I40" s="84" t="str">
        <f>VLOOKUP(IACriteria[[#This Row],[Criteria Dimension]],Table5[#All],3,FALSE)</f>
        <v>Data Governance</v>
      </c>
      <c r="K40" s="85">
        <f>VLOOKUP(IACriteria[[#This Row],[Maturity Level]],Table11[#All],4,FALSE)</f>
        <v>4</v>
      </c>
    </row>
    <row r="41" spans="1:11" ht="192" x14ac:dyDescent="0.4">
      <c r="A41" s="40" t="s">
        <v>49</v>
      </c>
      <c r="B41" s="40" t="str">
        <f>IACriteria[[#This Row],[Criteria Sequence]]&amp;"."&amp;IACriteria[[#This Row],[Maturity Level '#]]</f>
        <v>Level 5.5</v>
      </c>
      <c r="C41" s="84" t="str">
        <f t="shared" si="1"/>
        <v>Level 5</v>
      </c>
      <c r="D41" s="28" t="s">
        <v>4</v>
      </c>
      <c r="E41" s="35" t="s">
        <v>51</v>
      </c>
      <c r="F41" s="31" t="s">
        <v>669</v>
      </c>
      <c r="G41" s="35" t="s">
        <v>738</v>
      </c>
      <c r="H41" s="91" t="str">
        <f>VLOOKUP(IACriteria[[#This Row],[Criteria Dimension]],Table5[#All],2,FALSE)</f>
        <v>Are there individuals assigned to data governance roles that actively participate in the governance of the information used to support this capability and are there business terms that describe the meaning of the information documented?</v>
      </c>
      <c r="I41" s="84" t="str">
        <f>VLOOKUP(IACriteria[[#This Row],[Criteria Dimension]],Table5[#All],3,FALSE)</f>
        <v>Data Governance</v>
      </c>
      <c r="K41" s="85">
        <f>VLOOKUP(IACriteria[[#This Row],[Maturity Level]],Table11[#All],4,FALSE)</f>
        <v>5</v>
      </c>
    </row>
    <row r="42" spans="1:11" ht="80" x14ac:dyDescent="0.4">
      <c r="A42" s="40" t="s">
        <v>52</v>
      </c>
      <c r="B42" s="40" t="str">
        <f>IACriteria[[#This Row],[Criteria Sequence]]&amp;"."&amp;IACriteria[[#This Row],[Maturity Level '#]]</f>
        <v>Level 1.1</v>
      </c>
      <c r="C42" s="84" t="str">
        <f t="shared" si="1"/>
        <v>Level 1</v>
      </c>
      <c r="D42" s="29" t="s">
        <v>0</v>
      </c>
      <c r="E42" s="38" t="s">
        <v>670</v>
      </c>
      <c r="F42" s="35"/>
      <c r="G42" s="35"/>
      <c r="H42" s="91" t="str">
        <f>VLOOKUP(IACriteria[[#This Row],[Criteria Dimension]],Table5[#All],2,FALSE)</f>
        <v>Are the data dictionaries and other detailed definitions that describe the structure and relationships of the information used to support this capability defined and accessible to stakeholders?</v>
      </c>
      <c r="I42" s="84" t="str">
        <f>VLOOKUP(IACriteria[[#This Row],[Criteria Dimension]],Table5[#All],3,FALSE)</f>
        <v>Data Architecture, Modeling, and Design</v>
      </c>
      <c r="K42" s="85">
        <f>VLOOKUP(IACriteria[[#This Row],[Maturity Level]],Table11[#All],4,FALSE)</f>
        <v>1</v>
      </c>
    </row>
    <row r="43" spans="1:11" ht="144" x14ac:dyDescent="0.4">
      <c r="A43" s="40" t="s">
        <v>52</v>
      </c>
      <c r="B43" s="40" t="str">
        <f>IACriteria[[#This Row],[Criteria Sequence]]&amp;"."&amp;IACriteria[[#This Row],[Maturity Level '#]]</f>
        <v>Level 2.2</v>
      </c>
      <c r="C43" s="84" t="str">
        <f t="shared" si="1"/>
        <v>Level 2</v>
      </c>
      <c r="D43" s="28" t="s">
        <v>1</v>
      </c>
      <c r="E43" s="33" t="s">
        <v>671</v>
      </c>
      <c r="F43" s="35" t="s">
        <v>672</v>
      </c>
      <c r="G43" s="35" t="s">
        <v>673</v>
      </c>
      <c r="H43" s="91" t="str">
        <f>VLOOKUP(IACriteria[[#This Row],[Criteria Dimension]],Table5[#All],2,FALSE)</f>
        <v>Are the data dictionaries and other detailed definitions that describe the structure and relationships of the information used to support this capability defined and accessible to stakeholders?</v>
      </c>
      <c r="I43" s="84" t="str">
        <f>VLOOKUP(IACriteria[[#This Row],[Criteria Dimension]],Table5[#All],3,FALSE)</f>
        <v>Data Architecture, Modeling, and Design</v>
      </c>
      <c r="K43" s="85">
        <f>VLOOKUP(IACriteria[[#This Row],[Maturity Level]],Table11[#All],4,FALSE)</f>
        <v>2</v>
      </c>
    </row>
    <row r="44" spans="1:11" ht="160" x14ac:dyDescent="0.4">
      <c r="A44" s="40" t="s">
        <v>52</v>
      </c>
      <c r="B44" s="40" t="str">
        <f>IACriteria[[#This Row],[Criteria Sequence]]&amp;"."&amp;IACriteria[[#This Row],[Maturity Level '#]]</f>
        <v>Level 3.3</v>
      </c>
      <c r="C44" s="84" t="str">
        <f t="shared" si="1"/>
        <v>Level 3</v>
      </c>
      <c r="D44" s="28" t="s">
        <v>2</v>
      </c>
      <c r="E44" s="33" t="s">
        <v>674</v>
      </c>
      <c r="F44" s="35" t="s">
        <v>675</v>
      </c>
      <c r="G44" s="33" t="s">
        <v>676</v>
      </c>
      <c r="H44" s="91" t="str">
        <f>VLOOKUP(IACriteria[[#This Row],[Criteria Dimension]],Table5[#All],2,FALSE)</f>
        <v>Are the data dictionaries and other detailed definitions that describe the structure and relationships of the information used to support this capability defined and accessible to stakeholders?</v>
      </c>
      <c r="I44" s="84" t="str">
        <f>VLOOKUP(IACriteria[[#This Row],[Criteria Dimension]],Table5[#All],3,FALSE)</f>
        <v>Data Architecture, Modeling, and Design</v>
      </c>
      <c r="K44" s="85">
        <f>VLOOKUP(IACriteria[[#This Row],[Maturity Level]],Table11[#All],4,FALSE)</f>
        <v>3</v>
      </c>
    </row>
    <row r="45" spans="1:11" ht="144" x14ac:dyDescent="0.4">
      <c r="A45" s="40" t="s">
        <v>52</v>
      </c>
      <c r="B45" s="40" t="str">
        <f>IACriteria[[#This Row],[Criteria Sequence]]&amp;"."&amp;IACriteria[[#This Row],[Maturity Level '#]]</f>
        <v>Level 4.4</v>
      </c>
      <c r="C45" s="84" t="str">
        <f t="shared" si="1"/>
        <v>Level 4</v>
      </c>
      <c r="D45" s="28" t="s">
        <v>3</v>
      </c>
      <c r="E45" s="33" t="s">
        <v>677</v>
      </c>
      <c r="F45" s="35" t="s">
        <v>720</v>
      </c>
      <c r="G45" s="35" t="s">
        <v>721</v>
      </c>
      <c r="H45" s="91" t="str">
        <f>VLOOKUP(IACriteria[[#This Row],[Criteria Dimension]],Table5[#All],2,FALSE)</f>
        <v>Are the data dictionaries and other detailed definitions that describe the structure and relationships of the information used to support this capability defined and accessible to stakeholders?</v>
      </c>
      <c r="I45" s="84" t="str">
        <f>VLOOKUP(IACriteria[[#This Row],[Criteria Dimension]],Table5[#All],3,FALSE)</f>
        <v>Data Architecture, Modeling, and Design</v>
      </c>
      <c r="K45" s="85">
        <f>VLOOKUP(IACriteria[[#This Row],[Maturity Level]],Table11[#All],4,FALSE)</f>
        <v>4</v>
      </c>
    </row>
    <row r="46" spans="1:11" ht="208" x14ac:dyDescent="0.4">
      <c r="A46" s="40" t="s">
        <v>52</v>
      </c>
      <c r="B46" s="40" t="str">
        <f>IACriteria[[#This Row],[Criteria Sequence]]&amp;"."&amp;IACriteria[[#This Row],[Maturity Level '#]]</f>
        <v>Level 5.5</v>
      </c>
      <c r="C46" s="84" t="str">
        <f t="shared" si="1"/>
        <v>Level 5</v>
      </c>
      <c r="D46" s="28" t="s">
        <v>4</v>
      </c>
      <c r="E46" s="33" t="s">
        <v>722</v>
      </c>
      <c r="F46" s="31" t="s">
        <v>678</v>
      </c>
      <c r="G46" s="30" t="s">
        <v>679</v>
      </c>
      <c r="H46" s="91" t="str">
        <f>VLOOKUP(IACriteria[[#This Row],[Criteria Dimension]],Table5[#All],2,FALSE)</f>
        <v>Are the data dictionaries and other detailed definitions that describe the structure and relationships of the information used to support this capability defined and accessible to stakeholders?</v>
      </c>
      <c r="I46" s="84" t="str">
        <f>VLOOKUP(IACriteria[[#This Row],[Criteria Dimension]],Table5[#All],3,FALSE)</f>
        <v>Data Architecture, Modeling, and Design</v>
      </c>
      <c r="K46" s="85">
        <f>VLOOKUP(IACriteria[[#This Row],[Maturity Level]],Table11[#All],4,FALSE)</f>
        <v>5</v>
      </c>
    </row>
    <row r="47" spans="1:11" ht="80" x14ac:dyDescent="0.4">
      <c r="A47" s="40" t="s">
        <v>53</v>
      </c>
      <c r="B47" s="40" t="str">
        <f>IACriteria[[#This Row],[Criteria Sequence]]&amp;"."&amp;IACriteria[[#This Row],[Maturity Level '#]]</f>
        <v>Level 1.1</v>
      </c>
      <c r="C47" s="84" t="str">
        <f t="shared" si="1"/>
        <v>Level 1</v>
      </c>
      <c r="D47" s="29" t="s">
        <v>0</v>
      </c>
      <c r="E47" s="33" t="s">
        <v>723</v>
      </c>
      <c r="F47" s="30"/>
      <c r="G47" s="30"/>
      <c r="H47" s="91" t="str">
        <f>VLOOKUP(IACriteria[[#This Row],[Criteria Dimension]],Table5[#All],2,FALSE)</f>
        <v>Does the reference data that is included in the information used to support this capability adhere to standards and is documented, controlled and stored in a location that is accessible to stakeholders?</v>
      </c>
      <c r="I47" s="84" t="str">
        <f>VLOOKUP(IACriteria[[#This Row],[Criteria Dimension]],Table5[#All],3,FALSE)</f>
        <v>Reference Data Management</v>
      </c>
      <c r="K47" s="85">
        <f>VLOOKUP(IACriteria[[#This Row],[Maturity Level]],Table11[#All],4,FALSE)</f>
        <v>1</v>
      </c>
    </row>
    <row r="48" spans="1:11" ht="192" x14ac:dyDescent="0.4">
      <c r="A48" s="40" t="s">
        <v>53</v>
      </c>
      <c r="B48" s="40" t="str">
        <f>IACriteria[[#This Row],[Criteria Sequence]]&amp;"."&amp;IACriteria[[#This Row],[Maturity Level '#]]</f>
        <v>Level 2.2</v>
      </c>
      <c r="C48" s="84" t="str">
        <f t="shared" si="1"/>
        <v>Level 2</v>
      </c>
      <c r="D48" s="28" t="s">
        <v>1</v>
      </c>
      <c r="E48" s="33" t="s">
        <v>680</v>
      </c>
      <c r="F48" s="35" t="s">
        <v>681</v>
      </c>
      <c r="G48" s="35" t="s">
        <v>682</v>
      </c>
      <c r="H48" s="91" t="str">
        <f>VLOOKUP(IACriteria[[#This Row],[Criteria Dimension]],Table5[#All],2,FALSE)</f>
        <v>Does the reference data that is included in the information used to support this capability adhere to standards and is documented, controlled and stored in a location that is accessible to stakeholders?</v>
      </c>
      <c r="I48" s="84" t="str">
        <f>VLOOKUP(IACriteria[[#This Row],[Criteria Dimension]],Table5[#All],3,FALSE)</f>
        <v>Reference Data Management</v>
      </c>
      <c r="K48" s="85">
        <f>VLOOKUP(IACriteria[[#This Row],[Maturity Level]],Table11[#All],4,FALSE)</f>
        <v>2</v>
      </c>
    </row>
    <row r="49" spans="1:11" ht="112" x14ac:dyDescent="0.4">
      <c r="A49" s="40" t="s">
        <v>53</v>
      </c>
      <c r="B49" s="40" t="str">
        <f>IACriteria[[#This Row],[Criteria Sequence]]&amp;"."&amp;IACriteria[[#This Row],[Maturity Level '#]]</f>
        <v>Level 3.3</v>
      </c>
      <c r="C49" s="84" t="str">
        <f t="shared" si="1"/>
        <v>Level 3</v>
      </c>
      <c r="D49" s="28" t="s">
        <v>2</v>
      </c>
      <c r="E49" s="33" t="s">
        <v>683</v>
      </c>
      <c r="F49" s="35" t="s">
        <v>684</v>
      </c>
      <c r="G49" s="35" t="s">
        <v>685</v>
      </c>
      <c r="H49" s="91" t="str">
        <f>VLOOKUP(IACriteria[[#This Row],[Criteria Dimension]],Table5[#All],2,FALSE)</f>
        <v>Does the reference data that is included in the information used to support this capability adhere to standards and is documented, controlled and stored in a location that is accessible to stakeholders?</v>
      </c>
      <c r="I49" s="84" t="str">
        <f>VLOOKUP(IACriteria[[#This Row],[Criteria Dimension]],Table5[#All],3,FALSE)</f>
        <v>Reference Data Management</v>
      </c>
      <c r="K49" s="85">
        <f>VLOOKUP(IACriteria[[#This Row],[Maturity Level]],Table11[#All],4,FALSE)</f>
        <v>3</v>
      </c>
    </row>
    <row r="50" spans="1:11" ht="128" x14ac:dyDescent="0.4">
      <c r="A50" s="40" t="s">
        <v>53</v>
      </c>
      <c r="B50" s="40" t="str">
        <f>IACriteria[[#This Row],[Criteria Sequence]]&amp;"."&amp;IACriteria[[#This Row],[Maturity Level '#]]</f>
        <v>Level 4.4</v>
      </c>
      <c r="C50" s="84" t="str">
        <f t="shared" si="1"/>
        <v>Level 4</v>
      </c>
      <c r="D50" s="28" t="s">
        <v>3</v>
      </c>
      <c r="E50" s="33" t="s">
        <v>686</v>
      </c>
      <c r="F50" s="35" t="s">
        <v>687</v>
      </c>
      <c r="G50" s="35" t="s">
        <v>724</v>
      </c>
      <c r="H50" s="91" t="str">
        <f>VLOOKUP(IACriteria[[#This Row],[Criteria Dimension]],Table5[#All],2,FALSE)</f>
        <v>Does the reference data that is included in the information used to support this capability adhere to standards and is documented, controlled and stored in a location that is accessible to stakeholders?</v>
      </c>
      <c r="I50" s="84" t="str">
        <f>VLOOKUP(IACriteria[[#This Row],[Criteria Dimension]],Table5[#All],3,FALSE)</f>
        <v>Reference Data Management</v>
      </c>
      <c r="K50" s="85">
        <f>VLOOKUP(IACriteria[[#This Row],[Maturity Level]],Table11[#All],4,FALSE)</f>
        <v>4</v>
      </c>
    </row>
    <row r="51" spans="1:11" ht="208" x14ac:dyDescent="0.4">
      <c r="A51" s="40" t="s">
        <v>53</v>
      </c>
      <c r="B51" s="40" t="str">
        <f>IACriteria[[#This Row],[Criteria Sequence]]&amp;"."&amp;IACriteria[[#This Row],[Maturity Level '#]]</f>
        <v>Level 5.5</v>
      </c>
      <c r="C51" s="84" t="str">
        <f t="shared" si="1"/>
        <v>Level 5</v>
      </c>
      <c r="D51" s="28" t="s">
        <v>4</v>
      </c>
      <c r="E51" s="33" t="s">
        <v>725</v>
      </c>
      <c r="F51" s="31" t="s">
        <v>688</v>
      </c>
      <c r="G51" s="30" t="s">
        <v>689</v>
      </c>
      <c r="H51" s="91" t="str">
        <f>VLOOKUP(IACriteria[[#This Row],[Criteria Dimension]],Table5[#All],2,FALSE)</f>
        <v>Does the reference data that is included in the information used to support this capability adhere to standards and is documented, controlled and stored in a location that is accessible to stakeholders?</v>
      </c>
      <c r="I51" s="84" t="str">
        <f>VLOOKUP(IACriteria[[#This Row],[Criteria Dimension]],Table5[#All],3,FALSE)</f>
        <v>Reference Data Management</v>
      </c>
      <c r="K51" s="85">
        <f>VLOOKUP(IACriteria[[#This Row],[Maturity Level]],Table11[#All],4,FALSE)</f>
        <v>5</v>
      </c>
    </row>
    <row r="52" spans="1:11" ht="48" x14ac:dyDescent="0.4">
      <c r="A52" s="40" t="s">
        <v>54</v>
      </c>
      <c r="B52" s="40" t="str">
        <f>IACriteria[[#This Row],[Criteria Sequence]]&amp;"."&amp;IACriteria[[#This Row],[Maturity Level '#]]</f>
        <v>Level 1.1</v>
      </c>
      <c r="C52" s="84" t="str">
        <f t="shared" si="1"/>
        <v>Level 1</v>
      </c>
      <c r="D52" s="29" t="s">
        <v>0</v>
      </c>
      <c r="E52" s="29" t="s">
        <v>690</v>
      </c>
      <c r="F52" s="34"/>
      <c r="G52" s="30"/>
      <c r="H52" s="91" t="str">
        <f>VLOOKUP(IACriteria[[#This Row],[Criteria Dimension]],Table5[#All],2,FALSE)</f>
        <v>Is the information used to support this capability mastered so that all entities represented in the information are unique?</v>
      </c>
      <c r="I52" s="84" t="str">
        <f>VLOOKUP(IACriteria[[#This Row],[Criteria Dimension]],Table5[#All],3,FALSE)</f>
        <v>Master Data Management</v>
      </c>
      <c r="K52" s="85">
        <f>VLOOKUP(IACriteria[[#This Row],[Maturity Level]],Table11[#All],4,FALSE)</f>
        <v>1</v>
      </c>
    </row>
    <row r="53" spans="1:11" ht="128" x14ac:dyDescent="0.4">
      <c r="A53" s="40" t="s">
        <v>54</v>
      </c>
      <c r="B53" s="40" t="str">
        <f>IACriteria[[#This Row],[Criteria Sequence]]&amp;"."&amp;IACriteria[[#This Row],[Maturity Level '#]]</f>
        <v>Level 2.2</v>
      </c>
      <c r="C53" s="84" t="str">
        <f t="shared" si="1"/>
        <v>Level 2</v>
      </c>
      <c r="D53" s="28" t="s">
        <v>1</v>
      </c>
      <c r="E53" s="29" t="s">
        <v>691</v>
      </c>
      <c r="F53" s="35" t="s">
        <v>726</v>
      </c>
      <c r="G53" s="35" t="s">
        <v>692</v>
      </c>
      <c r="H53" s="91" t="str">
        <f>VLOOKUP(IACriteria[[#This Row],[Criteria Dimension]],Table5[#All],2,FALSE)</f>
        <v>Is the information used to support this capability mastered so that all entities represented in the information are unique?</v>
      </c>
      <c r="I53" s="84" t="str">
        <f>VLOOKUP(IACriteria[[#This Row],[Criteria Dimension]],Table5[#All],3,FALSE)</f>
        <v>Master Data Management</v>
      </c>
      <c r="K53" s="85">
        <f>VLOOKUP(IACriteria[[#This Row],[Maturity Level]],Table11[#All],4,FALSE)</f>
        <v>2</v>
      </c>
    </row>
    <row r="54" spans="1:11" ht="208" x14ac:dyDescent="0.4">
      <c r="A54" s="40" t="s">
        <v>54</v>
      </c>
      <c r="B54" s="40" t="str">
        <f>IACriteria[[#This Row],[Criteria Sequence]]&amp;"."&amp;IACriteria[[#This Row],[Maturity Level '#]]</f>
        <v>Level 3.3</v>
      </c>
      <c r="C54" s="84" t="str">
        <f t="shared" si="1"/>
        <v>Level 3</v>
      </c>
      <c r="D54" s="28" t="s">
        <v>2</v>
      </c>
      <c r="E54" s="33" t="s">
        <v>693</v>
      </c>
      <c r="F54" s="35" t="s">
        <v>727</v>
      </c>
      <c r="G54" s="35" t="s">
        <v>694</v>
      </c>
      <c r="H54" s="91" t="str">
        <f>VLOOKUP(IACriteria[[#This Row],[Criteria Dimension]],Table5[#All],2,FALSE)</f>
        <v>Is the information used to support this capability mastered so that all entities represented in the information are unique?</v>
      </c>
      <c r="I54" s="84" t="str">
        <f>VLOOKUP(IACriteria[[#This Row],[Criteria Dimension]],Table5[#All],3,FALSE)</f>
        <v>Master Data Management</v>
      </c>
      <c r="K54" s="85">
        <f>VLOOKUP(IACriteria[[#This Row],[Maturity Level]],Table11[#All],4,FALSE)</f>
        <v>3</v>
      </c>
    </row>
    <row r="55" spans="1:11" ht="96" x14ac:dyDescent="0.4">
      <c r="A55" s="40" t="s">
        <v>54</v>
      </c>
      <c r="B55" s="40" t="str">
        <f>IACriteria[[#This Row],[Criteria Sequence]]&amp;"."&amp;IACriteria[[#This Row],[Maturity Level '#]]</f>
        <v>Level 4.4</v>
      </c>
      <c r="C55" s="84" t="str">
        <f t="shared" si="1"/>
        <v>Level 4</v>
      </c>
      <c r="D55" s="28" t="s">
        <v>3</v>
      </c>
      <c r="E55" s="33" t="s">
        <v>695</v>
      </c>
      <c r="F55" s="35" t="s">
        <v>696</v>
      </c>
      <c r="G55" s="35" t="s">
        <v>724</v>
      </c>
      <c r="H55" s="91" t="str">
        <f>VLOOKUP(IACriteria[[#This Row],[Criteria Dimension]],Table5[#All],2,FALSE)</f>
        <v>Is the information used to support this capability mastered so that all entities represented in the information are unique?</v>
      </c>
      <c r="I55" s="84" t="str">
        <f>VLOOKUP(IACriteria[[#This Row],[Criteria Dimension]],Table5[#All],3,FALSE)</f>
        <v>Master Data Management</v>
      </c>
      <c r="K55" s="85">
        <f>VLOOKUP(IACriteria[[#This Row],[Maturity Level]],Table11[#All],4,FALSE)</f>
        <v>4</v>
      </c>
    </row>
    <row r="56" spans="1:11" ht="208" x14ac:dyDescent="0.4">
      <c r="A56" s="40" t="s">
        <v>54</v>
      </c>
      <c r="B56" s="40" t="str">
        <f>IACriteria[[#This Row],[Criteria Sequence]]&amp;"."&amp;IACriteria[[#This Row],[Maturity Level '#]]</f>
        <v>Level 5.5</v>
      </c>
      <c r="C56" s="84" t="str">
        <f t="shared" si="1"/>
        <v>Level 5</v>
      </c>
      <c r="D56" s="28" t="s">
        <v>4</v>
      </c>
      <c r="E56" s="33" t="s">
        <v>728</v>
      </c>
      <c r="F56" s="31" t="s">
        <v>697</v>
      </c>
      <c r="G56" s="30" t="s">
        <v>698</v>
      </c>
      <c r="H56" s="91" t="str">
        <f>VLOOKUP(IACriteria[[#This Row],[Criteria Dimension]],Table5[#All],2,FALSE)</f>
        <v>Is the information used to support this capability mastered so that all entities represented in the information are unique?</v>
      </c>
      <c r="I56" s="84" t="str">
        <f>VLOOKUP(IACriteria[[#This Row],[Criteria Dimension]],Table5[#All],3,FALSE)</f>
        <v>Master Data Management</v>
      </c>
      <c r="K56" s="85">
        <f>VLOOKUP(IACriteria[[#This Row],[Maturity Level]],Table11[#All],4,FALSE)</f>
        <v>5</v>
      </c>
    </row>
    <row r="57" spans="1:11" ht="64" x14ac:dyDescent="0.4">
      <c r="A57" s="67" t="s">
        <v>55</v>
      </c>
      <c r="B57" s="67" t="str">
        <f>IACriteria[[#This Row],[Criteria Sequence]]&amp;"."&amp;IACriteria[[#This Row],[Maturity Level '#]]</f>
        <v>Level 1.1</v>
      </c>
      <c r="C57" s="84" t="str">
        <f t="shared" si="1"/>
        <v>Level 1</v>
      </c>
      <c r="D57" s="29" t="s">
        <v>0</v>
      </c>
      <c r="E57" s="29" t="s">
        <v>56</v>
      </c>
      <c r="F57" s="31"/>
      <c r="G57" s="29"/>
      <c r="H57" s="90" t="str">
        <f>VLOOKUP(IACriteria[[#This Row],[Criteria Dimension]],Table5[#All],2,FALSE)</f>
        <v>Is the information used for this capability stored in locations that reduces duplication with defined retention and access policies?</v>
      </c>
      <c r="I57" s="84" t="str">
        <f>VLOOKUP(IACriteria[[#This Row],[Criteria Dimension]],Table5[#All],3,FALSE)</f>
        <v>Data Storage and Warehousing</v>
      </c>
      <c r="K57" s="85">
        <f>VLOOKUP(IACriteria[[#This Row],[Maturity Level]],Table11[#All],4,FALSE)</f>
        <v>1</v>
      </c>
    </row>
    <row r="58" spans="1:11" ht="64" x14ac:dyDescent="0.4">
      <c r="A58" s="67" t="s">
        <v>55</v>
      </c>
      <c r="B58" s="67" t="str">
        <f>IACriteria[[#This Row],[Criteria Sequence]]&amp;"."&amp;IACriteria[[#This Row],[Maturity Level '#]]</f>
        <v>Level 2.2</v>
      </c>
      <c r="C58" s="84" t="str">
        <f t="shared" si="1"/>
        <v>Level 2</v>
      </c>
      <c r="D58" s="28" t="s">
        <v>1</v>
      </c>
      <c r="E58" s="29" t="s">
        <v>57</v>
      </c>
      <c r="F58" s="31" t="s">
        <v>699</v>
      </c>
      <c r="G58" s="29" t="s">
        <v>700</v>
      </c>
      <c r="H58" s="90" t="str">
        <f>VLOOKUP(IACriteria[[#This Row],[Criteria Dimension]],Table5[#All],2,FALSE)</f>
        <v>Is the information used for this capability stored in locations that reduces duplication with defined retention and access policies?</v>
      </c>
      <c r="I58" s="84" t="str">
        <f>VLOOKUP(IACriteria[[#This Row],[Criteria Dimension]],Table5[#All],3,FALSE)</f>
        <v>Data Storage and Warehousing</v>
      </c>
      <c r="K58" s="85">
        <f>VLOOKUP(IACriteria[[#This Row],[Maturity Level]],Table11[#All],4,FALSE)</f>
        <v>2</v>
      </c>
    </row>
    <row r="59" spans="1:11" ht="64" x14ac:dyDescent="0.4">
      <c r="A59" s="67" t="s">
        <v>55</v>
      </c>
      <c r="B59" s="67" t="str">
        <f>IACriteria[[#This Row],[Criteria Sequence]]&amp;"."&amp;IACriteria[[#This Row],[Maturity Level '#]]</f>
        <v>Level 3.3</v>
      </c>
      <c r="C59" s="84" t="str">
        <f t="shared" si="1"/>
        <v>Level 3</v>
      </c>
      <c r="D59" s="28" t="s">
        <v>2</v>
      </c>
      <c r="E59" s="29" t="s">
        <v>58</v>
      </c>
      <c r="F59" s="31" t="s">
        <v>701</v>
      </c>
      <c r="G59" s="28"/>
      <c r="H59" s="90" t="str">
        <f>VLOOKUP(IACriteria[[#This Row],[Criteria Dimension]],Table5[#All],2,FALSE)</f>
        <v>Is the information used for this capability stored in locations that reduces duplication with defined retention and access policies?</v>
      </c>
      <c r="I59" s="84" t="str">
        <f>VLOOKUP(IACriteria[[#This Row],[Criteria Dimension]],Table5[#All],3,FALSE)</f>
        <v>Data Storage and Warehousing</v>
      </c>
      <c r="K59" s="85">
        <f>VLOOKUP(IACriteria[[#This Row],[Maturity Level]],Table11[#All],4,FALSE)</f>
        <v>3</v>
      </c>
    </row>
    <row r="60" spans="1:11" ht="144" x14ac:dyDescent="0.4">
      <c r="A60" s="67" t="s">
        <v>55</v>
      </c>
      <c r="B60" s="67" t="str">
        <f>IACriteria[[#This Row],[Criteria Sequence]]&amp;"."&amp;IACriteria[[#This Row],[Maturity Level '#]]</f>
        <v>Level 4.4</v>
      </c>
      <c r="C60" s="84" t="str">
        <f t="shared" si="1"/>
        <v>Level 4</v>
      </c>
      <c r="D60" s="28" t="s">
        <v>3</v>
      </c>
      <c r="E60" s="29" t="s">
        <v>702</v>
      </c>
      <c r="F60" s="31" t="s">
        <v>703</v>
      </c>
      <c r="G60" s="31" t="s">
        <v>729</v>
      </c>
      <c r="H60" s="90" t="str">
        <f>VLOOKUP(IACriteria[[#This Row],[Criteria Dimension]],Table5[#All],2,FALSE)</f>
        <v>Is the information used for this capability stored in locations that reduces duplication with defined retention and access policies?</v>
      </c>
      <c r="I60" s="84" t="str">
        <f>VLOOKUP(IACriteria[[#This Row],[Criteria Dimension]],Table5[#All],3,FALSE)</f>
        <v>Data Storage and Warehousing</v>
      </c>
      <c r="K60" s="85">
        <f>VLOOKUP(IACriteria[[#This Row],[Maturity Level]],Table11[#All],4,FALSE)</f>
        <v>4</v>
      </c>
    </row>
    <row r="61" spans="1:11" ht="208" x14ac:dyDescent="0.4">
      <c r="A61" s="68" t="s">
        <v>55</v>
      </c>
      <c r="B61" s="68" t="str">
        <f>IACriteria[[#This Row],[Criteria Sequence]]&amp;"."&amp;IACriteria[[#This Row],[Maturity Level '#]]</f>
        <v>Level 5.5</v>
      </c>
      <c r="C61" s="84" t="str">
        <f t="shared" si="1"/>
        <v>Level 5</v>
      </c>
      <c r="D61" s="28" t="s">
        <v>4</v>
      </c>
      <c r="E61" s="33" t="s">
        <v>704</v>
      </c>
      <c r="F61" s="31" t="s">
        <v>705</v>
      </c>
      <c r="G61" s="30" t="s">
        <v>706</v>
      </c>
      <c r="H61" s="91" t="str">
        <f>VLOOKUP(IACriteria[[#This Row],[Criteria Dimension]],Table5[#All],2,FALSE)</f>
        <v>Is the information used for this capability stored in locations that reduces duplication with defined retention and access policies?</v>
      </c>
      <c r="I61" s="84" t="str">
        <f>VLOOKUP(IACriteria[[#This Row],[Criteria Dimension]],Table5[#All],3,FALSE)</f>
        <v>Data Storage and Warehousing</v>
      </c>
      <c r="K61" s="85">
        <f>VLOOKUP(IACriteria[[#This Row],[Maturity Level]],Table11[#All],4,FALSE)</f>
        <v>5</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09A6FBF-60E6-7341-9FCD-75246134EECC}">
          <x14:formula1>
            <xm:f>Reference!$A$3:$A$13</xm:f>
          </x14:formula1>
          <xm:sqref>I1 I62:I1048576</xm:sqref>
        </x14:dataValidation>
        <x14:dataValidation type="list" allowBlank="1" showInputMessage="1" showErrorMessage="1" xr:uid="{7C12770E-86A8-DB42-BA83-4E6F54240CFE}">
          <x14:formula1>
            <xm:f>Reference!$C$2:$C$14</xm:f>
          </x14:formula1>
          <xm:sqref>A1:A1048576</xm:sqref>
        </x14:dataValidation>
        <x14:dataValidation type="list" allowBlank="1" showInputMessage="1" showErrorMessage="1" xr:uid="{90127248-F1BB-E940-AC34-E406CEAC5C24}">
          <x14:formula1>
            <xm:f>Reference!$O$3:$O$7</xm:f>
          </x14:formula1>
          <xm:sqref>D1:D1048576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0FD2-5A33-1E4D-926F-3788A5462BE2}">
  <dimension ref="A1:C1"/>
  <sheetViews>
    <sheetView workbookViewId="0">
      <selection activeCell="C13" sqref="C13"/>
    </sheetView>
  </sheetViews>
  <sheetFormatPr defaultColWidth="11" defaultRowHeight="16" x14ac:dyDescent="0.4"/>
  <cols>
    <col min="1" max="1" width="17.1640625" customWidth="1"/>
    <col min="2" max="2" width="21" customWidth="1"/>
    <col min="3" max="3" width="20.83203125" customWidth="1"/>
  </cols>
  <sheetData>
    <row r="1" spans="1:3" x14ac:dyDescent="0.4">
      <c r="A1" t="s">
        <v>59</v>
      </c>
      <c r="B1" t="s">
        <v>60</v>
      </c>
      <c r="C1"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9B37-5CB9-D340-AC36-A604DD8D17C1}">
  <dimension ref="A1:Z48"/>
  <sheetViews>
    <sheetView topLeftCell="A2" zoomScale="150" workbookViewId="0">
      <selection activeCell="D4" sqref="D4"/>
    </sheetView>
  </sheetViews>
  <sheetFormatPr defaultColWidth="11" defaultRowHeight="16" x14ac:dyDescent="0.4"/>
  <cols>
    <col min="1" max="1" width="39.33203125" customWidth="1"/>
    <col min="3" max="3" width="30.6640625" customWidth="1"/>
    <col min="4" max="4" width="47.83203125" customWidth="1"/>
    <col min="5" max="5" width="30.6640625" customWidth="1"/>
    <col min="6" max="6" width="12" customWidth="1"/>
    <col min="8" max="8" width="22" customWidth="1"/>
    <col min="9" max="9" width="41.6640625" customWidth="1"/>
    <col min="13" max="13" width="53.33203125" customWidth="1"/>
    <col min="15" max="15" width="16" customWidth="1"/>
    <col min="17" max="17" width="60.1640625" customWidth="1"/>
    <col min="20" max="20" width="21.33203125" customWidth="1"/>
    <col min="21" max="21" width="67.5" customWidth="1"/>
    <col min="23" max="23" width="46.5" customWidth="1"/>
    <col min="24" max="24" width="31.1640625" customWidth="1"/>
    <col min="26" max="26" width="33.5" customWidth="1"/>
  </cols>
  <sheetData>
    <row r="1" spans="1:26" ht="16.5" thickBot="1" x14ac:dyDescent="0.45">
      <c r="H1" s="64" t="s">
        <v>62</v>
      </c>
      <c r="I1" s="65"/>
      <c r="T1" s="64" t="s">
        <v>63</v>
      </c>
      <c r="U1" s="65"/>
    </row>
    <row r="2" spans="1:26" ht="32.5" thickBot="1" x14ac:dyDescent="0.45">
      <c r="A2" s="48" t="s">
        <v>23</v>
      </c>
      <c r="C2" s="50" t="s">
        <v>64</v>
      </c>
      <c r="D2" s="51" t="s">
        <v>22</v>
      </c>
      <c r="E2" s="51" t="s">
        <v>23</v>
      </c>
      <c r="F2" t="s">
        <v>17</v>
      </c>
      <c r="H2" s="3" t="s">
        <v>65</v>
      </c>
      <c r="I2" s="3" t="s">
        <v>66</v>
      </c>
      <c r="J2" s="3" t="s">
        <v>67</v>
      </c>
      <c r="L2" s="1" t="s">
        <v>68</v>
      </c>
      <c r="M2" s="1" t="s">
        <v>66</v>
      </c>
      <c r="O2" s="109" t="s">
        <v>18</v>
      </c>
      <c r="P2" s="110" t="s">
        <v>69</v>
      </c>
      <c r="Q2" s="110" t="s">
        <v>70</v>
      </c>
      <c r="R2" s="110" t="s">
        <v>71</v>
      </c>
      <c r="T2" s="6" t="s">
        <v>65</v>
      </c>
      <c r="U2" s="7" t="s">
        <v>66</v>
      </c>
      <c r="W2" s="69" t="s">
        <v>72</v>
      </c>
      <c r="X2" s="69" t="s">
        <v>73</v>
      </c>
      <c r="Y2" t="s">
        <v>74</v>
      </c>
      <c r="Z2" s="69" t="s">
        <v>75</v>
      </c>
    </row>
    <row r="3" spans="1:26" ht="48" x14ac:dyDescent="0.4">
      <c r="A3" s="46" t="s">
        <v>7</v>
      </c>
      <c r="C3" s="58" t="s">
        <v>55</v>
      </c>
      <c r="D3" s="59" t="s">
        <v>76</v>
      </c>
      <c r="E3" s="60" t="s">
        <v>77</v>
      </c>
      <c r="F3" s="54">
        <v>1</v>
      </c>
      <c r="H3" s="52" t="s">
        <v>16</v>
      </c>
      <c r="I3" s="3" t="s">
        <v>78</v>
      </c>
      <c r="J3" s="3"/>
      <c r="L3" s="1" t="s">
        <v>62</v>
      </c>
      <c r="M3" s="1" t="s">
        <v>79</v>
      </c>
      <c r="O3" s="58" t="s">
        <v>0</v>
      </c>
      <c r="P3" s="55" t="s">
        <v>80</v>
      </c>
      <c r="Q3" s="57" t="s">
        <v>81</v>
      </c>
      <c r="R3">
        <v>1</v>
      </c>
      <c r="T3" s="96" t="s">
        <v>18</v>
      </c>
      <c r="U3" s="97" t="s">
        <v>82</v>
      </c>
      <c r="W3" s="70" t="s">
        <v>83</v>
      </c>
      <c r="X3" s="71" t="s">
        <v>84</v>
      </c>
      <c r="Y3" s="72"/>
      <c r="Z3" s="70" t="s">
        <v>85</v>
      </c>
    </row>
    <row r="4" spans="1:26" ht="48" x14ac:dyDescent="0.4">
      <c r="A4" s="46" t="s">
        <v>9</v>
      </c>
      <c r="C4" s="61" t="s">
        <v>34</v>
      </c>
      <c r="D4" s="62" t="s">
        <v>86</v>
      </c>
      <c r="E4" s="63" t="s">
        <v>87</v>
      </c>
      <c r="F4" s="54">
        <v>2</v>
      </c>
      <c r="H4" s="87" t="s">
        <v>17</v>
      </c>
      <c r="I4" s="88" t="s">
        <v>88</v>
      </c>
      <c r="J4" s="88" t="s">
        <v>89</v>
      </c>
      <c r="L4" s="1" t="s">
        <v>90</v>
      </c>
      <c r="M4" s="1" t="s">
        <v>91</v>
      </c>
      <c r="O4" s="61" t="s">
        <v>1</v>
      </c>
      <c r="P4" s="56" t="s">
        <v>92</v>
      </c>
      <c r="Q4" s="106" t="s">
        <v>93</v>
      </c>
      <c r="R4">
        <v>2</v>
      </c>
      <c r="T4" s="97" t="s">
        <v>94</v>
      </c>
      <c r="U4" s="97" t="s">
        <v>95</v>
      </c>
      <c r="W4" s="69" t="s">
        <v>96</v>
      </c>
      <c r="X4" s="69" t="s">
        <v>84</v>
      </c>
      <c r="Y4" s="69"/>
      <c r="Z4" s="69" t="s">
        <v>85</v>
      </c>
    </row>
    <row r="5" spans="1:26" ht="80" x14ac:dyDescent="0.4">
      <c r="A5" s="46" t="s">
        <v>14</v>
      </c>
      <c r="C5" s="123" t="s">
        <v>39</v>
      </c>
      <c r="D5" s="124" t="s">
        <v>97</v>
      </c>
      <c r="E5" s="125" t="s">
        <v>5</v>
      </c>
      <c r="F5" s="126">
        <v>3</v>
      </c>
      <c r="H5" s="53" t="s">
        <v>18</v>
      </c>
      <c r="I5" s="3" t="s">
        <v>98</v>
      </c>
      <c r="J5" s="3"/>
      <c r="L5" s="1" t="s">
        <v>99</v>
      </c>
      <c r="M5" s="1" t="s">
        <v>100</v>
      </c>
      <c r="O5" s="58" t="s">
        <v>2</v>
      </c>
      <c r="P5" s="103" t="s">
        <v>101</v>
      </c>
      <c r="Q5" s="107" t="s">
        <v>102</v>
      </c>
      <c r="R5">
        <v>3</v>
      </c>
      <c r="T5" s="97" t="s">
        <v>19</v>
      </c>
      <c r="U5" s="97" t="s">
        <v>103</v>
      </c>
      <c r="W5" s="70" t="s">
        <v>104</v>
      </c>
      <c r="X5" s="71" t="s">
        <v>84</v>
      </c>
      <c r="Y5" s="70"/>
      <c r="Z5" s="70" t="s">
        <v>85</v>
      </c>
    </row>
    <row r="6" spans="1:26" ht="64" x14ac:dyDescent="0.4">
      <c r="A6" s="47" t="s">
        <v>10</v>
      </c>
      <c r="C6" s="61" t="s">
        <v>43</v>
      </c>
      <c r="D6" s="62" t="s">
        <v>105</v>
      </c>
      <c r="E6" s="63" t="s">
        <v>106</v>
      </c>
      <c r="F6" s="54">
        <v>4</v>
      </c>
      <c r="H6" s="53" t="s">
        <v>19</v>
      </c>
      <c r="I6" s="3" t="s">
        <v>107</v>
      </c>
      <c r="J6" s="3"/>
      <c r="L6" s="1" t="s">
        <v>108</v>
      </c>
      <c r="M6" s="1" t="s">
        <v>109</v>
      </c>
      <c r="O6" s="61" t="s">
        <v>3</v>
      </c>
      <c r="P6" s="104" t="s">
        <v>110</v>
      </c>
      <c r="Q6" s="32"/>
      <c r="R6">
        <v>4</v>
      </c>
      <c r="T6" s="98" t="s">
        <v>69</v>
      </c>
      <c r="U6" s="98" t="s">
        <v>111</v>
      </c>
      <c r="W6" s="69" t="s">
        <v>112</v>
      </c>
      <c r="X6" s="69" t="s">
        <v>84</v>
      </c>
      <c r="Y6" s="69"/>
      <c r="Z6" s="69" t="s">
        <v>113</v>
      </c>
    </row>
    <row r="7" spans="1:26" ht="97" customHeight="1" thickBot="1" x14ac:dyDescent="0.45">
      <c r="A7" s="46" t="s">
        <v>13</v>
      </c>
      <c r="C7" s="123" t="s">
        <v>45</v>
      </c>
      <c r="D7" s="124" t="s">
        <v>114</v>
      </c>
      <c r="E7" s="125" t="s">
        <v>14</v>
      </c>
      <c r="F7" s="126">
        <v>5</v>
      </c>
      <c r="H7" s="83" t="s">
        <v>20</v>
      </c>
      <c r="I7" s="3" t="s">
        <v>115</v>
      </c>
      <c r="J7" s="3"/>
      <c r="O7" s="108" t="s">
        <v>4</v>
      </c>
      <c r="P7" s="105" t="s">
        <v>116</v>
      </c>
      <c r="Q7" s="101" t="s">
        <v>117</v>
      </c>
      <c r="R7">
        <v>5</v>
      </c>
      <c r="T7" s="96" t="s">
        <v>118</v>
      </c>
      <c r="U7" s="97" t="s">
        <v>119</v>
      </c>
      <c r="W7" s="70" t="s">
        <v>120</v>
      </c>
      <c r="X7" s="71" t="s">
        <v>84</v>
      </c>
      <c r="Y7" s="72" t="s">
        <v>121</v>
      </c>
      <c r="Z7" s="70" t="s">
        <v>85</v>
      </c>
    </row>
    <row r="8" spans="1:26" ht="80" x14ac:dyDescent="0.4">
      <c r="A8" s="46" t="s">
        <v>15</v>
      </c>
      <c r="C8" s="61" t="s">
        <v>49</v>
      </c>
      <c r="D8" s="62" t="s">
        <v>122</v>
      </c>
      <c r="E8" s="63" t="s">
        <v>7</v>
      </c>
      <c r="F8" s="54">
        <v>6</v>
      </c>
      <c r="H8" s="53" t="s">
        <v>21</v>
      </c>
      <c r="I8" s="3" t="s">
        <v>123</v>
      </c>
      <c r="J8" s="3"/>
      <c r="T8" s="99" t="s">
        <v>124</v>
      </c>
      <c r="U8" s="98" t="s">
        <v>125</v>
      </c>
      <c r="W8" s="69" t="s">
        <v>126</v>
      </c>
      <c r="X8" s="69" t="s">
        <v>84</v>
      </c>
      <c r="Y8" s="69"/>
      <c r="Z8" s="69" t="s">
        <v>113</v>
      </c>
    </row>
    <row r="9" spans="1:26" ht="64" x14ac:dyDescent="0.4">
      <c r="A9" s="46" t="s">
        <v>87</v>
      </c>
      <c r="C9" s="58" t="s">
        <v>52</v>
      </c>
      <c r="D9" s="59" t="s">
        <v>127</v>
      </c>
      <c r="E9" s="59" t="s">
        <v>128</v>
      </c>
      <c r="F9" s="54">
        <v>7</v>
      </c>
      <c r="H9" s="94" t="s">
        <v>22</v>
      </c>
      <c r="I9" s="88" t="s">
        <v>129</v>
      </c>
      <c r="J9" s="88" t="s">
        <v>89</v>
      </c>
      <c r="Q9" s="82"/>
      <c r="T9" s="96" t="s">
        <v>130</v>
      </c>
      <c r="U9" s="97" t="s">
        <v>131</v>
      </c>
      <c r="W9" s="70" t="s">
        <v>132</v>
      </c>
      <c r="X9" s="71" t="s">
        <v>84</v>
      </c>
      <c r="Y9" s="70"/>
      <c r="Z9" s="70" t="s">
        <v>113</v>
      </c>
    </row>
    <row r="10" spans="1:26" ht="64" x14ac:dyDescent="0.4">
      <c r="A10" s="46" t="s">
        <v>77</v>
      </c>
      <c r="C10" s="61" t="s">
        <v>53</v>
      </c>
      <c r="D10" s="62" t="s">
        <v>133</v>
      </c>
      <c r="E10" s="63" t="s">
        <v>15</v>
      </c>
      <c r="F10" s="54">
        <v>8</v>
      </c>
      <c r="H10" s="86" t="s">
        <v>23</v>
      </c>
      <c r="I10" s="88" t="s">
        <v>134</v>
      </c>
      <c r="J10" s="88" t="s">
        <v>89</v>
      </c>
      <c r="Q10" s="82"/>
      <c r="T10" s="102" t="s">
        <v>135</v>
      </c>
      <c r="U10" s="97" t="s">
        <v>136</v>
      </c>
      <c r="W10" s="69" t="s">
        <v>137</v>
      </c>
      <c r="X10" s="69" t="s">
        <v>84</v>
      </c>
      <c r="Y10" s="69"/>
      <c r="Z10" s="69" t="s">
        <v>85</v>
      </c>
    </row>
    <row r="11" spans="1:26" ht="48" x14ac:dyDescent="0.4">
      <c r="A11" s="46" t="s">
        <v>128</v>
      </c>
      <c r="C11" s="58" t="s">
        <v>54</v>
      </c>
      <c r="D11" s="59" t="s">
        <v>138</v>
      </c>
      <c r="E11" s="60" t="s">
        <v>13</v>
      </c>
      <c r="F11" s="54">
        <v>9</v>
      </c>
      <c r="H11" s="81" t="s">
        <v>24</v>
      </c>
      <c r="I11" s="3" t="s">
        <v>139</v>
      </c>
      <c r="J11" s="3"/>
      <c r="Q11" s="82"/>
      <c r="T11" s="100" t="s">
        <v>140</v>
      </c>
      <c r="U11" s="101" t="s">
        <v>141</v>
      </c>
      <c r="W11" s="70" t="s">
        <v>142</v>
      </c>
      <c r="X11" s="71" t="s">
        <v>84</v>
      </c>
      <c r="Y11" s="70"/>
      <c r="Z11" s="70" t="s">
        <v>85</v>
      </c>
    </row>
    <row r="12" spans="1:26" ht="64" x14ac:dyDescent="0.4">
      <c r="A12" s="46" t="s">
        <v>106</v>
      </c>
      <c r="C12" s="61" t="s">
        <v>26</v>
      </c>
      <c r="D12" s="62" t="s">
        <v>143</v>
      </c>
      <c r="E12" s="63" t="s">
        <v>9</v>
      </c>
      <c r="F12" s="54">
        <v>10</v>
      </c>
      <c r="Q12" s="82"/>
      <c r="W12" s="69" t="s">
        <v>144</v>
      </c>
      <c r="X12" s="69" t="s">
        <v>145</v>
      </c>
      <c r="Y12" s="69"/>
      <c r="Z12" s="69" t="s">
        <v>85</v>
      </c>
    </row>
    <row r="13" spans="1:26" ht="64" x14ac:dyDescent="0.4">
      <c r="A13" s="49" t="s">
        <v>5</v>
      </c>
      <c r="C13" s="58" t="s">
        <v>31</v>
      </c>
      <c r="D13" s="59" t="s">
        <v>146</v>
      </c>
      <c r="E13" s="60" t="s">
        <v>10</v>
      </c>
      <c r="F13" s="54">
        <v>11</v>
      </c>
      <c r="Q13" s="82"/>
      <c r="W13" s="70" t="s">
        <v>147</v>
      </c>
      <c r="X13" s="71" t="s">
        <v>145</v>
      </c>
      <c r="Y13" s="70"/>
      <c r="Z13" s="70" t="s">
        <v>85</v>
      </c>
    </row>
    <row r="14" spans="1:26" ht="48" x14ac:dyDescent="0.4">
      <c r="C14" s="61" t="s">
        <v>33</v>
      </c>
      <c r="D14" s="62" t="s">
        <v>148</v>
      </c>
      <c r="E14" s="63" t="s">
        <v>5</v>
      </c>
      <c r="F14" s="54">
        <v>12</v>
      </c>
      <c r="W14" s="69" t="s">
        <v>149</v>
      </c>
      <c r="X14" s="69" t="s">
        <v>145</v>
      </c>
      <c r="Y14" s="69"/>
      <c r="Z14" s="69" t="s">
        <v>113</v>
      </c>
    </row>
    <row r="15" spans="1:26" x14ac:dyDescent="0.4">
      <c r="W15" s="70" t="s">
        <v>150</v>
      </c>
      <c r="X15" s="71" t="s">
        <v>145</v>
      </c>
      <c r="Y15" s="70"/>
      <c r="Z15" s="70" t="s">
        <v>85</v>
      </c>
    </row>
    <row r="16" spans="1:26" x14ac:dyDescent="0.4">
      <c r="W16" s="69" t="s">
        <v>151</v>
      </c>
      <c r="X16" s="69" t="s">
        <v>145</v>
      </c>
      <c r="Y16" s="69"/>
      <c r="Z16" s="69" t="s">
        <v>85</v>
      </c>
    </row>
    <row r="17" spans="23:26" x14ac:dyDescent="0.4">
      <c r="W17" s="70" t="s">
        <v>152</v>
      </c>
      <c r="X17" s="71" t="s">
        <v>145</v>
      </c>
      <c r="Y17" s="70"/>
      <c r="Z17" s="70" t="s">
        <v>85</v>
      </c>
    </row>
    <row r="18" spans="23:26" x14ac:dyDescent="0.4">
      <c r="W18" s="69" t="s">
        <v>153</v>
      </c>
      <c r="X18" s="69" t="s">
        <v>145</v>
      </c>
      <c r="Y18" s="69"/>
      <c r="Z18" s="69" t="s">
        <v>85</v>
      </c>
    </row>
    <row r="19" spans="23:26" x14ac:dyDescent="0.4">
      <c r="W19" s="70" t="s">
        <v>154</v>
      </c>
      <c r="X19" s="71" t="s">
        <v>155</v>
      </c>
      <c r="Y19" s="70"/>
      <c r="Z19" s="70" t="s">
        <v>85</v>
      </c>
    </row>
    <row r="20" spans="23:26" x14ac:dyDescent="0.4">
      <c r="W20" s="69" t="s">
        <v>156</v>
      </c>
      <c r="X20" s="69" t="s">
        <v>155</v>
      </c>
      <c r="Y20" t="s">
        <v>121</v>
      </c>
      <c r="Z20" s="69" t="s">
        <v>85</v>
      </c>
    </row>
    <row r="21" spans="23:26" x14ac:dyDescent="0.4">
      <c r="W21" s="70" t="s">
        <v>157</v>
      </c>
      <c r="X21" s="71" t="s">
        <v>155</v>
      </c>
      <c r="Y21" s="70"/>
      <c r="Z21" s="70" t="s">
        <v>85</v>
      </c>
    </row>
    <row r="22" spans="23:26" x14ac:dyDescent="0.4">
      <c r="W22" s="69" t="s">
        <v>158</v>
      </c>
      <c r="X22" s="69" t="s">
        <v>155</v>
      </c>
      <c r="Y22" s="69"/>
      <c r="Z22" s="69" t="s">
        <v>85</v>
      </c>
    </row>
    <row r="23" spans="23:26" x14ac:dyDescent="0.4">
      <c r="W23" s="70" t="s">
        <v>159</v>
      </c>
      <c r="X23" s="71" t="s">
        <v>155</v>
      </c>
      <c r="Y23" s="70"/>
      <c r="Z23" s="70" t="s">
        <v>85</v>
      </c>
    </row>
    <row r="24" spans="23:26" x14ac:dyDescent="0.4">
      <c r="W24" s="69" t="s">
        <v>160</v>
      </c>
      <c r="X24" s="69" t="s">
        <v>155</v>
      </c>
      <c r="Y24" s="69"/>
      <c r="Z24" s="69" t="s">
        <v>85</v>
      </c>
    </row>
    <row r="25" spans="23:26" x14ac:dyDescent="0.4">
      <c r="W25" s="70" t="s">
        <v>161</v>
      </c>
      <c r="X25" s="71" t="s">
        <v>155</v>
      </c>
      <c r="Y25" s="70"/>
      <c r="Z25" s="70" t="s">
        <v>85</v>
      </c>
    </row>
    <row r="26" spans="23:26" x14ac:dyDescent="0.4">
      <c r="W26" s="69" t="s">
        <v>162</v>
      </c>
      <c r="X26" s="69" t="s">
        <v>155</v>
      </c>
      <c r="Y26" s="69"/>
      <c r="Z26" s="69" t="s">
        <v>85</v>
      </c>
    </row>
    <row r="27" spans="23:26" x14ac:dyDescent="0.4">
      <c r="W27" s="70" t="s">
        <v>163</v>
      </c>
      <c r="X27" s="71" t="s">
        <v>164</v>
      </c>
      <c r="Y27" s="70"/>
      <c r="Z27" s="70" t="s">
        <v>85</v>
      </c>
    </row>
    <row r="28" spans="23:26" x14ac:dyDescent="0.4">
      <c r="W28" s="69" t="s">
        <v>159</v>
      </c>
      <c r="X28" s="69" t="s">
        <v>164</v>
      </c>
      <c r="Y28" s="69"/>
      <c r="Z28" s="69" t="s">
        <v>85</v>
      </c>
    </row>
    <row r="29" spans="23:26" x14ac:dyDescent="0.4">
      <c r="W29" s="70" t="s">
        <v>165</v>
      </c>
      <c r="X29" s="71" t="s">
        <v>164</v>
      </c>
      <c r="Y29" s="70"/>
      <c r="Z29" s="70" t="s">
        <v>85</v>
      </c>
    </row>
    <row r="30" spans="23:26" x14ac:dyDescent="0.4">
      <c r="W30" s="69" t="s">
        <v>166</v>
      </c>
      <c r="X30" s="69" t="s">
        <v>164</v>
      </c>
      <c r="Y30" s="69"/>
      <c r="Z30" s="69" t="s">
        <v>85</v>
      </c>
    </row>
    <row r="31" spans="23:26" x14ac:dyDescent="0.4">
      <c r="W31" s="73" t="s">
        <v>167</v>
      </c>
      <c r="X31" s="74" t="s">
        <v>164</v>
      </c>
      <c r="Y31" s="73"/>
      <c r="Z31" s="73" t="s">
        <v>85</v>
      </c>
    </row>
    <row r="32" spans="23:26" x14ac:dyDescent="0.4">
      <c r="W32" s="73" t="s">
        <v>168</v>
      </c>
      <c r="X32" s="74"/>
      <c r="Y32" s="75" t="s">
        <v>169</v>
      </c>
      <c r="Z32" s="75" t="s">
        <v>113</v>
      </c>
    </row>
    <row r="33" spans="23:26" ht="32" x14ac:dyDescent="0.4">
      <c r="W33" s="76" t="s">
        <v>170</v>
      </c>
      <c r="X33" s="74"/>
      <c r="Y33" s="73"/>
      <c r="Z33" s="77" t="s">
        <v>171</v>
      </c>
    </row>
    <row r="34" spans="23:26" x14ac:dyDescent="0.4">
      <c r="W34" s="73" t="s">
        <v>172</v>
      </c>
      <c r="X34" s="74"/>
      <c r="Y34" s="73"/>
      <c r="Z34" s="77" t="s">
        <v>171</v>
      </c>
    </row>
    <row r="35" spans="23:26" x14ac:dyDescent="0.4">
      <c r="W35" s="78" t="s">
        <v>173</v>
      </c>
      <c r="X35" s="79"/>
      <c r="Y35" s="79" t="s">
        <v>169</v>
      </c>
      <c r="Z35" s="77" t="s">
        <v>171</v>
      </c>
    </row>
    <row r="36" spans="23:26" x14ac:dyDescent="0.4">
      <c r="W36" s="78" t="s">
        <v>174</v>
      </c>
      <c r="X36" s="79"/>
      <c r="Y36" s="79" t="s">
        <v>121</v>
      </c>
      <c r="Z36" s="77" t="s">
        <v>113</v>
      </c>
    </row>
    <row r="37" spans="23:26" x14ac:dyDescent="0.4">
      <c r="W37" s="78" t="s">
        <v>175</v>
      </c>
      <c r="X37" s="79"/>
      <c r="Y37" s="79" t="s">
        <v>121</v>
      </c>
      <c r="Z37" s="77" t="s">
        <v>171</v>
      </c>
    </row>
    <row r="38" spans="23:26" x14ac:dyDescent="0.4">
      <c r="W38" s="78" t="s">
        <v>176</v>
      </c>
      <c r="X38" s="79"/>
      <c r="Y38" s="79" t="s">
        <v>121</v>
      </c>
      <c r="Z38" s="77" t="s">
        <v>171</v>
      </c>
    </row>
    <row r="39" spans="23:26" x14ac:dyDescent="0.4">
      <c r="W39" s="78" t="s">
        <v>177</v>
      </c>
      <c r="X39" s="79"/>
      <c r="Y39" s="79" t="s">
        <v>169</v>
      </c>
      <c r="Z39" s="77" t="s">
        <v>171</v>
      </c>
    </row>
    <row r="40" spans="23:26" x14ac:dyDescent="0.4">
      <c r="W40" s="78" t="s">
        <v>178</v>
      </c>
      <c r="X40" s="79"/>
      <c r="Y40" s="79" t="s">
        <v>169</v>
      </c>
      <c r="Z40" s="77" t="s">
        <v>171</v>
      </c>
    </row>
    <row r="41" spans="23:26" x14ac:dyDescent="0.4">
      <c r="W41" s="78" t="s">
        <v>179</v>
      </c>
      <c r="X41" s="79"/>
      <c r="Y41" s="79" t="s">
        <v>121</v>
      </c>
      <c r="Z41" s="77" t="s">
        <v>171</v>
      </c>
    </row>
    <row r="42" spans="23:26" x14ac:dyDescent="0.4">
      <c r="W42" s="78" t="s">
        <v>180</v>
      </c>
      <c r="X42" s="79"/>
      <c r="Y42" s="79" t="s">
        <v>169</v>
      </c>
      <c r="Z42" s="77" t="s">
        <v>171</v>
      </c>
    </row>
    <row r="43" spans="23:26" x14ac:dyDescent="0.4">
      <c r="W43" s="73" t="s">
        <v>181</v>
      </c>
      <c r="X43" s="74"/>
      <c r="Y43" s="74" t="s">
        <v>121</v>
      </c>
      <c r="Z43" s="75" t="s">
        <v>113</v>
      </c>
    </row>
    <row r="44" spans="23:26" x14ac:dyDescent="0.4">
      <c r="W44" s="78" t="s">
        <v>182</v>
      </c>
      <c r="X44" s="79"/>
      <c r="Y44" s="79" t="s">
        <v>169</v>
      </c>
      <c r="Z44" s="77" t="s">
        <v>171</v>
      </c>
    </row>
    <row r="45" spans="23:26" x14ac:dyDescent="0.4">
      <c r="W45" s="80" t="s">
        <v>183</v>
      </c>
      <c r="X45" s="79"/>
      <c r="Y45" s="79" t="s">
        <v>121</v>
      </c>
      <c r="Z45" s="77" t="s">
        <v>85</v>
      </c>
    </row>
    <row r="46" spans="23:26" x14ac:dyDescent="0.4">
      <c r="W46" s="78" t="s">
        <v>184</v>
      </c>
      <c r="X46" s="79"/>
      <c r="Y46" s="79" t="s">
        <v>169</v>
      </c>
      <c r="Z46" s="77" t="s">
        <v>171</v>
      </c>
    </row>
    <row r="47" spans="23:26" x14ac:dyDescent="0.4">
      <c r="W47" s="73" t="s">
        <v>185</v>
      </c>
      <c r="X47" s="79"/>
      <c r="Y47" s="74" t="s">
        <v>169</v>
      </c>
      <c r="Z47" s="77" t="s">
        <v>171</v>
      </c>
    </row>
    <row r="48" spans="23:26" x14ac:dyDescent="0.4">
      <c r="W48" s="73" t="s">
        <v>186</v>
      </c>
      <c r="X48" s="79"/>
      <c r="Y48" s="74" t="s">
        <v>169</v>
      </c>
      <c r="Z48" s="77" t="s">
        <v>171</v>
      </c>
    </row>
  </sheetData>
  <dataValidations count="1">
    <dataValidation type="list" allowBlank="1" showInputMessage="1" showErrorMessage="1" sqref="E2:E14" xr:uid="{3580145F-007F-7D4B-B06D-663FA808DACB}">
      <formula1>$A$3:$A$13</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C8A0-7A27-2F49-B402-AD2FEB14965F}">
  <sheetPr>
    <tabColor theme="9" tint="0.79998168889431442"/>
  </sheetPr>
  <dimension ref="A2:N80"/>
  <sheetViews>
    <sheetView zoomScale="185" zoomScaleNormal="90" workbookViewId="0">
      <selection activeCell="B22" sqref="B22"/>
    </sheetView>
  </sheetViews>
  <sheetFormatPr defaultColWidth="28.83203125" defaultRowHeight="16" x14ac:dyDescent="0.4"/>
  <cols>
    <col min="2" max="5" width="28.83203125" style="1"/>
  </cols>
  <sheetData>
    <row r="2" spans="1:14" x14ac:dyDescent="0.4">
      <c r="A2" t="s">
        <v>18</v>
      </c>
      <c r="B2" s="1" t="s">
        <v>94</v>
      </c>
      <c r="C2" s="1" t="s">
        <v>19</v>
      </c>
      <c r="D2" s="1" t="s">
        <v>187</v>
      </c>
      <c r="E2" s="1" t="s">
        <v>188</v>
      </c>
      <c r="F2" t="s">
        <v>118</v>
      </c>
      <c r="G2" t="s">
        <v>189</v>
      </c>
      <c r="H2" t="s">
        <v>69</v>
      </c>
      <c r="I2" t="s">
        <v>190</v>
      </c>
      <c r="J2" t="s">
        <v>23</v>
      </c>
      <c r="K2" t="s">
        <v>130</v>
      </c>
      <c r="L2" t="s">
        <v>135</v>
      </c>
      <c r="M2" t="s">
        <v>140</v>
      </c>
      <c r="N2" t="s">
        <v>191</v>
      </c>
    </row>
    <row r="3" spans="1:14" ht="131.5" hidden="1" x14ac:dyDescent="0.45">
      <c r="A3" s="2" t="e">
        <f>VLOOKUP(Table1[[#This Row],[Type]],MaturityLevelDescription,3,FALSE)</f>
        <v>#REF!</v>
      </c>
      <c r="B3" s="5" t="s">
        <v>192</v>
      </c>
      <c r="C3" s="3" t="s">
        <v>193</v>
      </c>
      <c r="D3" s="12"/>
      <c r="E3" s="3" t="s">
        <v>194</v>
      </c>
      <c r="F3" s="8" t="s">
        <v>195</v>
      </c>
      <c r="G3" s="2"/>
      <c r="H3" s="2" t="s">
        <v>80</v>
      </c>
      <c r="I3" s="2" t="s">
        <v>196</v>
      </c>
      <c r="J3" s="3" t="s">
        <v>7</v>
      </c>
      <c r="K3" s="2" t="s">
        <v>171</v>
      </c>
      <c r="L3" s="42" t="s">
        <v>197</v>
      </c>
      <c r="M3" s="43" t="s">
        <v>198</v>
      </c>
      <c r="N3" s="2"/>
    </row>
    <row r="4" spans="1:14" ht="131.5" hidden="1" x14ac:dyDescent="0.45">
      <c r="A4" s="2" t="e">
        <f>VLOOKUP(Table1[[#This Row],[Type]],MaturityLevelDescription,3,FALSE)</f>
        <v>#REF!</v>
      </c>
      <c r="B4" s="5" t="s">
        <v>199</v>
      </c>
      <c r="C4" s="3" t="s">
        <v>200</v>
      </c>
      <c r="D4" s="3" t="s">
        <v>201</v>
      </c>
      <c r="E4" s="3" t="s">
        <v>202</v>
      </c>
      <c r="F4" s="8" t="s">
        <v>203</v>
      </c>
      <c r="G4" s="2"/>
      <c r="H4" s="2" t="s">
        <v>80</v>
      </c>
      <c r="I4" s="2"/>
      <c r="J4" s="3" t="s">
        <v>8</v>
      </c>
      <c r="K4" s="2" t="s">
        <v>171</v>
      </c>
      <c r="L4" s="44" t="s">
        <v>204</v>
      </c>
      <c r="M4" s="45" t="s">
        <v>205</v>
      </c>
      <c r="N4" s="2"/>
    </row>
    <row r="5" spans="1:14" ht="145.5" hidden="1" x14ac:dyDescent="0.4">
      <c r="A5" s="2" t="e">
        <f>VLOOKUP(Table1[[#This Row],[Type]],MaturityLevelDescription,3,FALSE)</f>
        <v>#REF!</v>
      </c>
      <c r="B5" s="5" t="s">
        <v>206</v>
      </c>
      <c r="C5" s="18" t="s">
        <v>207</v>
      </c>
      <c r="D5" s="18" t="s">
        <v>208</v>
      </c>
      <c r="E5" s="18" t="s">
        <v>209</v>
      </c>
      <c r="F5" s="9" t="s">
        <v>210</v>
      </c>
      <c r="G5" s="2"/>
      <c r="H5" s="2" t="s">
        <v>80</v>
      </c>
      <c r="I5" s="2"/>
      <c r="J5" s="3" t="s">
        <v>9</v>
      </c>
      <c r="K5" s="2" t="s">
        <v>171</v>
      </c>
      <c r="L5" s="42" t="s">
        <v>211</v>
      </c>
      <c r="M5" s="43" t="s">
        <v>212</v>
      </c>
      <c r="N5" s="2"/>
    </row>
    <row r="6" spans="1:14" ht="117" hidden="1" x14ac:dyDescent="0.45">
      <c r="A6" s="2" t="e">
        <f>VLOOKUP(Table1[[#This Row],[Type]],MaturityLevelDescription,3,FALSE)</f>
        <v>#REF!</v>
      </c>
      <c r="B6" s="5" t="s">
        <v>213</v>
      </c>
      <c r="C6" s="20" t="s">
        <v>214</v>
      </c>
      <c r="D6" s="20" t="s">
        <v>215</v>
      </c>
      <c r="E6" s="20" t="s">
        <v>216</v>
      </c>
      <c r="F6" s="8" t="s">
        <v>217</v>
      </c>
      <c r="G6" s="2"/>
      <c r="H6" s="2" t="s">
        <v>80</v>
      </c>
      <c r="I6" s="2" t="s">
        <v>196</v>
      </c>
      <c r="J6" s="3" t="s">
        <v>7</v>
      </c>
      <c r="K6" s="2" t="s">
        <v>171</v>
      </c>
      <c r="L6" s="44" t="s">
        <v>218</v>
      </c>
      <c r="M6" s="45" t="s">
        <v>219</v>
      </c>
      <c r="N6" s="2"/>
    </row>
    <row r="7" spans="1:14" ht="116.5" hidden="1" x14ac:dyDescent="0.4">
      <c r="A7" s="2" t="e">
        <f>VLOOKUP(Table1[[#This Row],[Type]],MaturityLevelDescription,3,FALSE)</f>
        <v>#REF!</v>
      </c>
      <c r="B7" s="5" t="s">
        <v>220</v>
      </c>
      <c r="C7" s="18" t="s">
        <v>221</v>
      </c>
      <c r="D7" s="18" t="s">
        <v>208</v>
      </c>
      <c r="E7" s="18" t="s">
        <v>222</v>
      </c>
      <c r="F7" s="9" t="s">
        <v>223</v>
      </c>
      <c r="G7" s="2"/>
      <c r="H7" s="2" t="s">
        <v>80</v>
      </c>
      <c r="I7" s="2"/>
      <c r="J7" s="3" t="s">
        <v>9</v>
      </c>
      <c r="K7" s="2" t="s">
        <v>171</v>
      </c>
      <c r="L7" s="42" t="s">
        <v>224</v>
      </c>
      <c r="M7" s="43" t="s">
        <v>225</v>
      </c>
      <c r="N7" s="2"/>
    </row>
    <row r="8" spans="1:14" ht="131.5" hidden="1" x14ac:dyDescent="0.45">
      <c r="A8" s="2" t="e">
        <f>VLOOKUP(Table1[[#This Row],[Type]],MaturityLevelDescription,3,FALSE)</f>
        <v>#REF!</v>
      </c>
      <c r="B8" s="5" t="s">
        <v>226</v>
      </c>
      <c r="C8" s="3" t="s">
        <v>227</v>
      </c>
      <c r="D8" s="3" t="s">
        <v>228</v>
      </c>
      <c r="E8" s="3" t="s">
        <v>229</v>
      </c>
      <c r="F8" s="8" t="s">
        <v>230</v>
      </c>
      <c r="G8" s="2"/>
      <c r="H8" s="2" t="s">
        <v>80</v>
      </c>
      <c r="I8" s="2"/>
      <c r="J8" s="3" t="s">
        <v>12</v>
      </c>
      <c r="K8" s="2" t="s">
        <v>171</v>
      </c>
      <c r="L8" s="44" t="s">
        <v>231</v>
      </c>
      <c r="M8" s="45" t="s">
        <v>232</v>
      </c>
      <c r="N8" s="2"/>
    </row>
    <row r="9" spans="1:14" ht="114" hidden="1" customHeight="1" x14ac:dyDescent="0.45">
      <c r="A9" s="2" t="e">
        <f>VLOOKUP(Table1[[#This Row],[Type]],MaturityLevelDescription,3,FALSE)</f>
        <v>#REF!</v>
      </c>
      <c r="B9" s="5" t="s">
        <v>233</v>
      </c>
      <c r="C9" s="3" t="s">
        <v>234</v>
      </c>
      <c r="D9" s="3" t="s">
        <v>235</v>
      </c>
      <c r="E9" s="3" t="s">
        <v>236</v>
      </c>
      <c r="F9" s="8" t="s">
        <v>237</v>
      </c>
      <c r="G9" s="2"/>
      <c r="H9" s="2" t="s">
        <v>80</v>
      </c>
      <c r="I9" s="2"/>
      <c r="J9" s="3" t="s">
        <v>6</v>
      </c>
      <c r="K9" s="2" t="s">
        <v>171</v>
      </c>
      <c r="L9" s="42" t="s">
        <v>238</v>
      </c>
      <c r="M9" s="43" t="s">
        <v>239</v>
      </c>
      <c r="N9" s="2"/>
    </row>
    <row r="10" spans="1:14" ht="131.5" hidden="1" x14ac:dyDescent="0.45">
      <c r="A10" s="2" t="e">
        <f>VLOOKUP(Table1[[#This Row],[Type]],MaturityLevelDescription,3,FALSE)</f>
        <v>#REF!</v>
      </c>
      <c r="B10" s="26" t="s">
        <v>240</v>
      </c>
      <c r="C10" s="3" t="s">
        <v>241</v>
      </c>
      <c r="D10" s="3" t="s">
        <v>242</v>
      </c>
      <c r="E10" s="3" t="s">
        <v>243</v>
      </c>
      <c r="F10" s="8" t="s">
        <v>244</v>
      </c>
      <c r="G10" s="2"/>
      <c r="H10" s="2" t="s">
        <v>80</v>
      </c>
      <c r="I10" s="2"/>
      <c r="J10" s="3" t="s">
        <v>13</v>
      </c>
      <c r="K10" s="2" t="s">
        <v>171</v>
      </c>
      <c r="L10" s="44" t="s">
        <v>245</v>
      </c>
      <c r="M10" s="45" t="s">
        <v>246</v>
      </c>
      <c r="N10" s="2"/>
    </row>
    <row r="11" spans="1:14" ht="102.5" hidden="1" x14ac:dyDescent="0.45">
      <c r="A11" s="2" t="e">
        <f>VLOOKUP(Table1[[#This Row],[Type]],MaturityLevelDescription,3,FALSE)</f>
        <v>#REF!</v>
      </c>
      <c r="B11" s="4" t="s">
        <v>247</v>
      </c>
      <c r="C11" s="3" t="s">
        <v>248</v>
      </c>
      <c r="D11" s="3" t="s">
        <v>242</v>
      </c>
      <c r="E11" s="3" t="s">
        <v>249</v>
      </c>
      <c r="F11" s="8" t="s">
        <v>250</v>
      </c>
      <c r="G11" s="2"/>
      <c r="H11" s="2" t="s">
        <v>80</v>
      </c>
      <c r="I11" s="2"/>
      <c r="J11" s="3" t="s">
        <v>13</v>
      </c>
      <c r="K11" s="2" t="s">
        <v>171</v>
      </c>
      <c r="L11" s="42" t="s">
        <v>251</v>
      </c>
      <c r="M11" s="43" t="s">
        <v>252</v>
      </c>
      <c r="N11" s="2"/>
    </row>
    <row r="12" spans="1:14" ht="117" x14ac:dyDescent="0.45">
      <c r="A12" s="2" t="e">
        <f>VLOOKUP(Table1[[#This Row],[Type]],MaturityLevelDescription,3,FALSE)</f>
        <v>#REF!</v>
      </c>
      <c r="B12" s="5" t="s">
        <v>253</v>
      </c>
      <c r="C12" s="3" t="s">
        <v>254</v>
      </c>
      <c r="D12" s="3" t="s">
        <v>255</v>
      </c>
      <c r="E12" s="3" t="s">
        <v>256</v>
      </c>
      <c r="F12" s="8" t="s">
        <v>257</v>
      </c>
      <c r="G12" s="2"/>
      <c r="H12" s="2" t="s">
        <v>80</v>
      </c>
      <c r="I12" s="2"/>
      <c r="J12" s="3" t="s">
        <v>5</v>
      </c>
      <c r="K12" s="2" t="s">
        <v>171</v>
      </c>
      <c r="L12" s="44" t="s">
        <v>258</v>
      </c>
      <c r="M12" s="45" t="s">
        <v>259</v>
      </c>
      <c r="N12" s="2"/>
    </row>
    <row r="13" spans="1:14" ht="117" hidden="1" x14ac:dyDescent="0.45">
      <c r="A13" s="2" t="e">
        <f>VLOOKUP(Table1[[#This Row],[Type]],MaturityLevelDescription,3,FALSE)</f>
        <v>#REF!</v>
      </c>
      <c r="B13" s="5" t="s">
        <v>260</v>
      </c>
      <c r="C13" s="3" t="s">
        <v>261</v>
      </c>
      <c r="D13" s="3" t="s">
        <v>262</v>
      </c>
      <c r="E13" s="3" t="s">
        <v>263</v>
      </c>
      <c r="F13" s="8" t="s">
        <v>264</v>
      </c>
      <c r="G13" s="2"/>
      <c r="H13" s="2" t="s">
        <v>80</v>
      </c>
      <c r="I13" s="2"/>
      <c r="J13" s="3" t="s">
        <v>15</v>
      </c>
      <c r="K13" s="2" t="s">
        <v>171</v>
      </c>
      <c r="L13" s="42" t="s">
        <v>265</v>
      </c>
      <c r="M13" s="43" t="s">
        <v>266</v>
      </c>
      <c r="N13" s="2"/>
    </row>
    <row r="14" spans="1:14" ht="102.5" x14ac:dyDescent="0.45">
      <c r="A14" s="2" t="e">
        <f>VLOOKUP(Table1[[#This Row],[Type]],MaturityLevelDescription,3,FALSE)</f>
        <v>#REF!</v>
      </c>
      <c r="B14" s="5" t="s">
        <v>267</v>
      </c>
      <c r="C14" s="19" t="s">
        <v>268</v>
      </c>
      <c r="D14" s="3" t="s">
        <v>255</v>
      </c>
      <c r="E14" s="19" t="s">
        <v>269</v>
      </c>
      <c r="F14" s="8" t="s">
        <v>270</v>
      </c>
      <c r="G14" s="15"/>
      <c r="H14" s="15" t="s">
        <v>80</v>
      </c>
      <c r="I14" s="15"/>
      <c r="J14" s="19" t="s">
        <v>5</v>
      </c>
      <c r="K14" s="15" t="s">
        <v>171</v>
      </c>
      <c r="L14" s="44" t="s">
        <v>271</v>
      </c>
      <c r="M14" s="45" t="s">
        <v>272</v>
      </c>
      <c r="N14" s="2"/>
    </row>
    <row r="15" spans="1:14" ht="102" hidden="1" x14ac:dyDescent="0.4">
      <c r="A15" s="2" t="e">
        <f>VLOOKUP(Table1[[#This Row],[Type]],MaturityLevelDescription,3,FALSE)</f>
        <v>#REF!</v>
      </c>
      <c r="B15" s="5" t="s">
        <v>273</v>
      </c>
      <c r="C15" s="3" t="s">
        <v>274</v>
      </c>
      <c r="D15" s="20" t="s">
        <v>215</v>
      </c>
      <c r="E15" s="3" t="s">
        <v>275</v>
      </c>
      <c r="F15" s="24" t="s">
        <v>276</v>
      </c>
      <c r="G15" s="2"/>
      <c r="H15" s="2" t="s">
        <v>80</v>
      </c>
      <c r="I15" s="2" t="s">
        <v>196</v>
      </c>
      <c r="J15" s="3" t="s">
        <v>7</v>
      </c>
      <c r="K15" s="2" t="s">
        <v>171</v>
      </c>
      <c r="L15" s="42" t="s">
        <v>277</v>
      </c>
      <c r="M15" s="43" t="s">
        <v>278</v>
      </c>
      <c r="N15" s="2" t="s">
        <v>173</v>
      </c>
    </row>
    <row r="16" spans="1:14" ht="116.5" hidden="1" x14ac:dyDescent="0.4">
      <c r="A16" s="2" t="e">
        <f>VLOOKUP(Table1[[#This Row],[Type]],MaturityLevelDescription,3,FALSE)</f>
        <v>#REF!</v>
      </c>
      <c r="B16" s="5" t="s">
        <v>279</v>
      </c>
      <c r="C16" s="3" t="s">
        <v>280</v>
      </c>
      <c r="D16" s="3" t="s">
        <v>228</v>
      </c>
      <c r="E16" s="3" t="s">
        <v>281</v>
      </c>
      <c r="F16" s="21" t="s">
        <v>282</v>
      </c>
      <c r="G16" s="2"/>
      <c r="H16" s="2" t="s">
        <v>92</v>
      </c>
      <c r="I16" s="2"/>
      <c r="J16" s="3" t="s">
        <v>12</v>
      </c>
      <c r="K16" s="2" t="s">
        <v>171</v>
      </c>
      <c r="L16" s="44" t="s">
        <v>283</v>
      </c>
      <c r="M16" s="45" t="s">
        <v>284</v>
      </c>
      <c r="N16" s="2"/>
    </row>
    <row r="17" spans="1:14" ht="131.5" hidden="1" x14ac:dyDescent="0.45">
      <c r="A17" s="2" t="e">
        <f>VLOOKUP(Table1[[#This Row],[Type]],MaturityLevelDescription,3,FALSE)</f>
        <v>#REF!</v>
      </c>
      <c r="B17" s="5" t="s">
        <v>285</v>
      </c>
      <c r="C17" s="19" t="s">
        <v>286</v>
      </c>
      <c r="D17" s="12" t="s">
        <v>287</v>
      </c>
      <c r="E17" s="19" t="s">
        <v>288</v>
      </c>
      <c r="F17" s="8" t="s">
        <v>289</v>
      </c>
      <c r="G17" s="2" t="s">
        <v>290</v>
      </c>
      <c r="H17" s="2" t="s">
        <v>92</v>
      </c>
      <c r="I17" s="2" t="s">
        <v>101</v>
      </c>
      <c r="J17" s="3" t="s">
        <v>14</v>
      </c>
      <c r="K17" s="2" t="s">
        <v>171</v>
      </c>
      <c r="L17" s="42" t="s">
        <v>291</v>
      </c>
      <c r="M17" s="43" t="s">
        <v>292</v>
      </c>
      <c r="N17" s="2" t="s">
        <v>293</v>
      </c>
    </row>
    <row r="18" spans="1:14" ht="131.5" hidden="1" x14ac:dyDescent="0.45">
      <c r="A18" s="2" t="e">
        <f>VLOOKUP(Table1[[#This Row],[Type]],MaturityLevelDescription,3,FALSE)</f>
        <v>#REF!</v>
      </c>
      <c r="B18" s="5" t="s">
        <v>294</v>
      </c>
      <c r="C18" s="12" t="s">
        <v>295</v>
      </c>
      <c r="D18" s="12" t="s">
        <v>287</v>
      </c>
      <c r="E18" s="12" t="s">
        <v>296</v>
      </c>
      <c r="F18" s="8" t="s">
        <v>297</v>
      </c>
      <c r="G18" s="2"/>
      <c r="H18" s="2" t="s">
        <v>92</v>
      </c>
      <c r="I18" s="2" t="s">
        <v>101</v>
      </c>
      <c r="J18" s="3" t="s">
        <v>14</v>
      </c>
      <c r="K18" s="2" t="s">
        <v>171</v>
      </c>
      <c r="L18" s="44" t="s">
        <v>298</v>
      </c>
      <c r="M18" s="45" t="s">
        <v>299</v>
      </c>
      <c r="N18" s="2"/>
    </row>
    <row r="19" spans="1:14" ht="131.5" hidden="1" x14ac:dyDescent="0.45">
      <c r="A19" s="2" t="e">
        <f>VLOOKUP(Table1[[#This Row],[Type]],MaturityLevelDescription,3,FALSE)</f>
        <v>#REF!</v>
      </c>
      <c r="B19" s="4" t="s">
        <v>300</v>
      </c>
      <c r="C19" s="19" t="s">
        <v>301</v>
      </c>
      <c r="D19" s="19" t="s">
        <v>302</v>
      </c>
      <c r="E19" s="19" t="s">
        <v>303</v>
      </c>
      <c r="F19" s="8" t="s">
        <v>304</v>
      </c>
      <c r="G19" s="2"/>
      <c r="H19" s="2" t="s">
        <v>92</v>
      </c>
      <c r="I19" s="2" t="s">
        <v>101</v>
      </c>
      <c r="J19" s="3" t="s">
        <v>10</v>
      </c>
      <c r="K19" s="2" t="s">
        <v>171</v>
      </c>
      <c r="L19" s="42" t="s">
        <v>305</v>
      </c>
      <c r="M19" s="43" t="s">
        <v>306</v>
      </c>
      <c r="N19" s="2"/>
    </row>
    <row r="20" spans="1:14" ht="131" hidden="1" x14ac:dyDescent="0.4">
      <c r="A20" s="2" t="e">
        <f>VLOOKUP(Table1[[#This Row],[Type]],MaturityLevelDescription,3,FALSE)</f>
        <v>#REF!</v>
      </c>
      <c r="B20" s="4" t="s">
        <v>307</v>
      </c>
      <c r="C20" s="19" t="s">
        <v>308</v>
      </c>
      <c r="D20" s="18" t="s">
        <v>208</v>
      </c>
      <c r="E20" s="19" t="s">
        <v>309</v>
      </c>
      <c r="F20" s="19" t="s">
        <v>310</v>
      </c>
      <c r="G20" s="3"/>
      <c r="H20" s="2" t="s">
        <v>92</v>
      </c>
      <c r="I20" s="2" t="s">
        <v>101</v>
      </c>
      <c r="J20" s="3" t="s">
        <v>9</v>
      </c>
      <c r="K20" s="2" t="s">
        <v>171</v>
      </c>
      <c r="L20" s="44" t="s">
        <v>311</v>
      </c>
      <c r="M20" s="45" t="s">
        <v>312</v>
      </c>
      <c r="N20" s="2"/>
    </row>
    <row r="21" spans="1:14" ht="117" hidden="1" x14ac:dyDescent="0.45">
      <c r="A21" s="2" t="e">
        <f>VLOOKUP(Table1[[#This Row],[Type]],MaturityLevelDescription,3,FALSE)</f>
        <v>#REF!</v>
      </c>
      <c r="B21" s="5" t="s">
        <v>313</v>
      </c>
      <c r="C21" s="19" t="s">
        <v>314</v>
      </c>
      <c r="D21" s="3" t="s">
        <v>235</v>
      </c>
      <c r="E21" s="19" t="s">
        <v>315</v>
      </c>
      <c r="F21" s="8" t="s">
        <v>316</v>
      </c>
      <c r="G21" s="2"/>
      <c r="H21" s="2" t="s">
        <v>92</v>
      </c>
      <c r="I21" s="2"/>
      <c r="J21" s="3" t="s">
        <v>6</v>
      </c>
      <c r="K21" s="2" t="s">
        <v>171</v>
      </c>
      <c r="L21" s="42" t="s">
        <v>317</v>
      </c>
      <c r="M21" s="43" t="s">
        <v>318</v>
      </c>
      <c r="N21" s="2"/>
    </row>
    <row r="22" spans="1:14" ht="131.5" x14ac:dyDescent="0.45">
      <c r="A22" s="2" t="e">
        <f>VLOOKUP(Table1[[#This Row],[Type]],MaturityLevelDescription,3,FALSE)</f>
        <v>#REF!</v>
      </c>
      <c r="B22" s="5" t="s">
        <v>319</v>
      </c>
      <c r="C22" s="19" t="s">
        <v>320</v>
      </c>
      <c r="D22" s="3" t="s">
        <v>255</v>
      </c>
      <c r="E22" s="19" t="s">
        <v>321</v>
      </c>
      <c r="F22" s="8" t="s">
        <v>322</v>
      </c>
      <c r="G22" s="2"/>
      <c r="H22" s="2" t="s">
        <v>92</v>
      </c>
      <c r="I22" s="2"/>
      <c r="J22" s="3" t="s">
        <v>5</v>
      </c>
      <c r="K22" s="2" t="s">
        <v>171</v>
      </c>
      <c r="L22" s="44" t="s">
        <v>323</v>
      </c>
      <c r="M22" s="45" t="s">
        <v>324</v>
      </c>
      <c r="N22" s="2"/>
    </row>
    <row r="23" spans="1:14" ht="131.5" x14ac:dyDescent="0.45">
      <c r="A23" s="2" t="e">
        <f>VLOOKUP(Table1[[#This Row],[Type]],MaturityLevelDescription,3,FALSE)</f>
        <v>#REF!</v>
      </c>
      <c r="B23" s="5" t="s">
        <v>325</v>
      </c>
      <c r="C23" s="19" t="s">
        <v>326</v>
      </c>
      <c r="D23" s="3" t="s">
        <v>255</v>
      </c>
      <c r="E23" s="19" t="s">
        <v>327</v>
      </c>
      <c r="F23" s="8" t="s">
        <v>328</v>
      </c>
      <c r="G23" s="2"/>
      <c r="H23" s="2" t="s">
        <v>92</v>
      </c>
      <c r="I23" s="2"/>
      <c r="J23" s="3" t="s">
        <v>5</v>
      </c>
      <c r="K23" s="2" t="s">
        <v>171</v>
      </c>
      <c r="L23" s="42" t="s">
        <v>329</v>
      </c>
      <c r="M23" s="43" t="s">
        <v>330</v>
      </c>
      <c r="N23" s="2"/>
    </row>
    <row r="24" spans="1:14" ht="131.5" hidden="1" x14ac:dyDescent="0.45">
      <c r="A24" s="2" t="e">
        <f>VLOOKUP(Table1[[#This Row],[Type]],MaturityLevelDescription,3,FALSE)</f>
        <v>#REF!</v>
      </c>
      <c r="B24" s="4" t="s">
        <v>331</v>
      </c>
      <c r="C24" s="19" t="s">
        <v>332</v>
      </c>
      <c r="D24" s="3" t="s">
        <v>201</v>
      </c>
      <c r="E24" s="19" t="s">
        <v>333</v>
      </c>
      <c r="F24" s="8" t="s">
        <v>334</v>
      </c>
      <c r="G24" s="2"/>
      <c r="H24" s="2" t="s">
        <v>92</v>
      </c>
      <c r="I24" s="2"/>
      <c r="J24" s="3" t="s">
        <v>8</v>
      </c>
      <c r="K24" s="2" t="s">
        <v>171</v>
      </c>
      <c r="L24" s="44" t="s">
        <v>335</v>
      </c>
      <c r="M24" s="45" t="s">
        <v>336</v>
      </c>
      <c r="N24" s="2"/>
    </row>
    <row r="25" spans="1:14" ht="131.5" hidden="1" x14ac:dyDescent="0.45">
      <c r="A25" s="2" t="e">
        <f>VLOOKUP(Table1[[#This Row],[Type]],MaturityLevelDescription,3,FALSE)</f>
        <v>#REF!</v>
      </c>
      <c r="B25" s="4" t="s">
        <v>337</v>
      </c>
      <c r="C25" s="19" t="s">
        <v>338</v>
      </c>
      <c r="D25" s="3" t="s">
        <v>262</v>
      </c>
      <c r="E25" s="19" t="s">
        <v>339</v>
      </c>
      <c r="F25" s="8" t="s">
        <v>340</v>
      </c>
      <c r="G25" s="2"/>
      <c r="H25" s="2" t="s">
        <v>92</v>
      </c>
      <c r="I25" s="2"/>
      <c r="J25" s="3" t="s">
        <v>15</v>
      </c>
      <c r="K25" s="2" t="s">
        <v>171</v>
      </c>
      <c r="L25" s="42" t="s">
        <v>341</v>
      </c>
      <c r="M25" s="43" t="s">
        <v>342</v>
      </c>
      <c r="N25" s="2"/>
    </row>
    <row r="26" spans="1:14" ht="146" hidden="1" x14ac:dyDescent="0.45">
      <c r="A26" s="2" t="e">
        <f>VLOOKUP(Table1[[#This Row],[Type]],MaturityLevelDescription,3,FALSE)</f>
        <v>#REF!</v>
      </c>
      <c r="B26" s="5" t="s">
        <v>343</v>
      </c>
      <c r="C26" s="3" t="s">
        <v>344</v>
      </c>
      <c r="D26" s="3" t="s">
        <v>345</v>
      </c>
      <c r="E26" s="3" t="s">
        <v>346</v>
      </c>
      <c r="F26" s="22" t="s">
        <v>347</v>
      </c>
      <c r="G26" s="2"/>
      <c r="H26" s="2" t="s">
        <v>101</v>
      </c>
      <c r="I26" s="2"/>
      <c r="J26" s="3" t="s">
        <v>11</v>
      </c>
      <c r="K26" s="2" t="s">
        <v>171</v>
      </c>
      <c r="L26" s="44" t="s">
        <v>348</v>
      </c>
      <c r="M26" s="45" t="s">
        <v>349</v>
      </c>
      <c r="N26" s="2"/>
    </row>
    <row r="27" spans="1:14" ht="131.5" hidden="1" x14ac:dyDescent="0.45">
      <c r="A27" s="2" t="e">
        <f>VLOOKUP(Table1[[#This Row],[Type]],MaturityLevelDescription,3,FALSE)</f>
        <v>#REF!</v>
      </c>
      <c r="B27" s="4" t="s">
        <v>350</v>
      </c>
      <c r="C27" s="3" t="s">
        <v>351</v>
      </c>
      <c r="D27" s="3" t="s">
        <v>235</v>
      </c>
      <c r="E27" s="3" t="s">
        <v>352</v>
      </c>
      <c r="F27" s="22" t="s">
        <v>353</v>
      </c>
      <c r="G27" s="2"/>
      <c r="H27" s="2" t="s">
        <v>101</v>
      </c>
      <c r="I27" s="2"/>
      <c r="J27" s="3" t="s">
        <v>6</v>
      </c>
      <c r="K27" s="2" t="s">
        <v>171</v>
      </c>
      <c r="L27" s="42" t="s">
        <v>354</v>
      </c>
      <c r="M27" s="43" t="s">
        <v>355</v>
      </c>
      <c r="N27" s="2"/>
    </row>
    <row r="28" spans="1:14" ht="117" hidden="1" x14ac:dyDescent="0.45">
      <c r="A28" s="2" t="e">
        <f>VLOOKUP(Table1[[#This Row],[Type]],MaturityLevelDescription,3,FALSE)</f>
        <v>#REF!</v>
      </c>
      <c r="B28" s="5" t="s">
        <v>356</v>
      </c>
      <c r="C28" s="19" t="s">
        <v>357</v>
      </c>
      <c r="D28" s="3" t="s">
        <v>235</v>
      </c>
      <c r="E28" s="19" t="s">
        <v>358</v>
      </c>
      <c r="F28" s="8" t="s">
        <v>359</v>
      </c>
      <c r="G28" s="2"/>
      <c r="H28" s="2" t="s">
        <v>101</v>
      </c>
      <c r="I28" s="2"/>
      <c r="J28" s="3" t="s">
        <v>6</v>
      </c>
      <c r="K28" s="2" t="s">
        <v>171</v>
      </c>
      <c r="L28" s="44" t="s">
        <v>360</v>
      </c>
      <c r="M28" s="45" t="s">
        <v>361</v>
      </c>
      <c r="N28" s="2"/>
    </row>
    <row r="29" spans="1:14" ht="116.5" hidden="1" x14ac:dyDescent="0.4">
      <c r="A29" s="2" t="e">
        <f>VLOOKUP(Table1[[#This Row],[Type]],MaturityLevelDescription,3,FALSE)</f>
        <v>#REF!</v>
      </c>
      <c r="B29" s="5" t="s">
        <v>362</v>
      </c>
      <c r="C29" s="19" t="s">
        <v>363</v>
      </c>
      <c r="D29" s="3" t="s">
        <v>228</v>
      </c>
      <c r="E29" s="19" t="s">
        <v>364</v>
      </c>
      <c r="F29" s="9" t="s">
        <v>365</v>
      </c>
      <c r="G29" s="2"/>
      <c r="H29" s="2" t="s">
        <v>101</v>
      </c>
      <c r="I29" s="2"/>
      <c r="J29" s="3" t="s">
        <v>12</v>
      </c>
      <c r="K29" s="2" t="s">
        <v>171</v>
      </c>
      <c r="L29" s="42" t="s">
        <v>366</v>
      </c>
      <c r="M29" s="43" t="s">
        <v>367</v>
      </c>
      <c r="N29" s="2"/>
    </row>
    <row r="30" spans="1:14" ht="131" hidden="1" x14ac:dyDescent="0.4">
      <c r="A30" s="2" t="e">
        <f>VLOOKUP(Table1[[#This Row],[Type]],MaturityLevelDescription,3,FALSE)</f>
        <v>#REF!</v>
      </c>
      <c r="B30" s="5" t="s">
        <v>368</v>
      </c>
      <c r="C30" s="19" t="s">
        <v>369</v>
      </c>
      <c r="D30" s="20" t="s">
        <v>215</v>
      </c>
      <c r="E30" s="19"/>
      <c r="F30" s="15"/>
      <c r="G30" s="2"/>
      <c r="H30" s="2" t="s">
        <v>80</v>
      </c>
      <c r="I30" s="2" t="s">
        <v>370</v>
      </c>
      <c r="J30" s="3" t="s">
        <v>7</v>
      </c>
      <c r="K30" s="2"/>
      <c r="L30" s="44" t="s">
        <v>371</v>
      </c>
      <c r="M30" s="45" t="s">
        <v>372</v>
      </c>
      <c r="N30" s="2"/>
    </row>
    <row r="31" spans="1:14" ht="117" hidden="1" x14ac:dyDescent="0.45">
      <c r="A31" s="2" t="e">
        <f>VLOOKUP(Table1[[#This Row],[Type]],MaturityLevelDescription,3,FALSE)</f>
        <v>#REF!</v>
      </c>
      <c r="B31" s="4" t="s">
        <v>373</v>
      </c>
      <c r="C31" s="12" t="s">
        <v>374</v>
      </c>
      <c r="D31" s="19" t="s">
        <v>302</v>
      </c>
      <c r="E31" s="12" t="s">
        <v>375</v>
      </c>
      <c r="F31" s="8" t="s">
        <v>376</v>
      </c>
      <c r="G31" s="2"/>
      <c r="H31" s="2" t="s">
        <v>101</v>
      </c>
      <c r="I31" s="2"/>
      <c r="J31" s="3" t="s">
        <v>10</v>
      </c>
      <c r="K31" s="2" t="s">
        <v>171</v>
      </c>
      <c r="L31" s="42" t="s">
        <v>377</v>
      </c>
      <c r="M31" s="43" t="s">
        <v>378</v>
      </c>
      <c r="N31" s="2"/>
    </row>
    <row r="32" spans="1:14" ht="131" hidden="1" x14ac:dyDescent="0.4">
      <c r="A32" s="2" t="e">
        <f>VLOOKUP(Table1[[#This Row],[Type]],MaturityLevelDescription,3,FALSE)</f>
        <v>#REF!</v>
      </c>
      <c r="B32" s="5" t="s">
        <v>379</v>
      </c>
      <c r="C32" s="19" t="s">
        <v>380</v>
      </c>
      <c r="D32" s="12" t="s">
        <v>215</v>
      </c>
      <c r="E32" s="19"/>
      <c r="F32" s="15"/>
      <c r="G32" s="2"/>
      <c r="H32" s="2" t="s">
        <v>92</v>
      </c>
      <c r="I32" s="2" t="s">
        <v>370</v>
      </c>
      <c r="J32" s="3" t="s">
        <v>7</v>
      </c>
      <c r="K32" s="2"/>
      <c r="L32" s="44" t="s">
        <v>381</v>
      </c>
      <c r="M32" s="45" t="s">
        <v>382</v>
      </c>
      <c r="N32" s="2"/>
    </row>
    <row r="33" spans="1:14" ht="131.5" hidden="1" x14ac:dyDescent="0.45">
      <c r="A33" s="2" t="e">
        <f>VLOOKUP(Table1[[#This Row],[Type]],MaturityLevelDescription,3,FALSE)</f>
        <v>#REF!</v>
      </c>
      <c r="B33" s="5" t="s">
        <v>383</v>
      </c>
      <c r="C33" s="13" t="s">
        <v>384</v>
      </c>
      <c r="D33" s="18" t="s">
        <v>208</v>
      </c>
      <c r="E33" s="13" t="s">
        <v>385</v>
      </c>
      <c r="F33" s="8" t="s">
        <v>386</v>
      </c>
      <c r="G33" s="2"/>
      <c r="H33" s="2" t="s">
        <v>101</v>
      </c>
      <c r="I33" s="2" t="s">
        <v>387</v>
      </c>
      <c r="J33" s="3" t="s">
        <v>9</v>
      </c>
      <c r="K33" s="2" t="s">
        <v>171</v>
      </c>
      <c r="L33" s="42" t="s">
        <v>388</v>
      </c>
      <c r="M33" s="43" t="s">
        <v>389</v>
      </c>
      <c r="N33" s="2"/>
    </row>
    <row r="34" spans="1:14" ht="117" hidden="1" x14ac:dyDescent="0.45">
      <c r="A34" s="2" t="e">
        <f>VLOOKUP(Table1[[#This Row],[Type]],MaturityLevelDescription,3,FALSE)</f>
        <v>#REF!</v>
      </c>
      <c r="B34" s="4" t="s">
        <v>390</v>
      </c>
      <c r="C34" s="13" t="s">
        <v>391</v>
      </c>
      <c r="D34" s="12" t="s">
        <v>215</v>
      </c>
      <c r="E34" s="13" t="s">
        <v>392</v>
      </c>
      <c r="F34" s="8" t="s">
        <v>393</v>
      </c>
      <c r="G34" s="2"/>
      <c r="H34" s="2" t="s">
        <v>101</v>
      </c>
      <c r="I34" s="2" t="s">
        <v>370</v>
      </c>
      <c r="J34" s="3" t="s">
        <v>7</v>
      </c>
      <c r="K34" s="2" t="s">
        <v>394</v>
      </c>
      <c r="L34" s="44" t="s">
        <v>395</v>
      </c>
      <c r="M34" s="45" t="s">
        <v>396</v>
      </c>
      <c r="N34" s="2"/>
    </row>
    <row r="35" spans="1:14" ht="116.5" hidden="1" x14ac:dyDescent="0.4">
      <c r="A35" s="10" t="s">
        <v>2</v>
      </c>
      <c r="B35" s="11" t="s">
        <v>397</v>
      </c>
      <c r="C35" s="9" t="s">
        <v>398</v>
      </c>
      <c r="D35" s="3" t="s">
        <v>345</v>
      </c>
      <c r="E35" s="9" t="s">
        <v>399</v>
      </c>
      <c r="F35" s="9" t="s">
        <v>400</v>
      </c>
      <c r="G35" s="14" t="s">
        <v>401</v>
      </c>
      <c r="H35" s="14" t="s">
        <v>101</v>
      </c>
      <c r="I35" s="14" t="s">
        <v>402</v>
      </c>
      <c r="J35" s="21" t="s">
        <v>11</v>
      </c>
      <c r="K35" s="14" t="s">
        <v>171</v>
      </c>
      <c r="L35" s="42" t="s">
        <v>403</v>
      </c>
      <c r="M35" s="43" t="s">
        <v>404</v>
      </c>
      <c r="N35" s="14" t="s">
        <v>405</v>
      </c>
    </row>
    <row r="36" spans="1:14" ht="131.5" hidden="1" x14ac:dyDescent="0.45">
      <c r="A36" s="2" t="e">
        <f>VLOOKUP(Table1[[#This Row],[Type]],MaturityLevelDescription,3,FALSE)</f>
        <v>#REF!</v>
      </c>
      <c r="B36" s="5" t="s">
        <v>406</v>
      </c>
      <c r="C36" s="19" t="s">
        <v>407</v>
      </c>
      <c r="D36" s="3" t="s">
        <v>201</v>
      </c>
      <c r="E36" s="19" t="s">
        <v>408</v>
      </c>
      <c r="F36" s="8" t="s">
        <v>409</v>
      </c>
      <c r="G36" s="2"/>
      <c r="H36" s="2" t="s">
        <v>101</v>
      </c>
      <c r="I36" s="2"/>
      <c r="J36" s="3" t="s">
        <v>8</v>
      </c>
      <c r="K36" s="2" t="s">
        <v>171</v>
      </c>
      <c r="L36" s="44" t="s">
        <v>410</v>
      </c>
      <c r="M36" s="45" t="s">
        <v>411</v>
      </c>
      <c r="N36" s="2"/>
    </row>
    <row r="37" spans="1:14" ht="117" hidden="1" x14ac:dyDescent="0.45">
      <c r="A37" s="2" t="e">
        <f>VLOOKUP(Table1[[#This Row],[Type]],MaturityLevelDescription,3,FALSE)</f>
        <v>#REF!</v>
      </c>
      <c r="B37" s="5" t="s">
        <v>412</v>
      </c>
      <c r="C37" s="19" t="s">
        <v>413</v>
      </c>
      <c r="D37" s="3" t="s">
        <v>228</v>
      </c>
      <c r="E37" s="19" t="s">
        <v>414</v>
      </c>
      <c r="F37" s="8" t="s">
        <v>415</v>
      </c>
      <c r="G37" s="2"/>
      <c r="H37" s="2" t="s">
        <v>101</v>
      </c>
      <c r="I37" s="2"/>
      <c r="J37" s="3" t="s">
        <v>12</v>
      </c>
      <c r="K37" s="2" t="s">
        <v>171</v>
      </c>
      <c r="L37" s="42" t="s">
        <v>416</v>
      </c>
      <c r="M37" s="43" t="s">
        <v>417</v>
      </c>
      <c r="N37" s="2"/>
    </row>
    <row r="38" spans="1:14" ht="131.5" hidden="1" x14ac:dyDescent="0.45">
      <c r="A38" s="2" t="e">
        <f>VLOOKUP(Table1[[#This Row],[Type]],MaturityLevelDescription,3,FALSE)</f>
        <v>#REF!</v>
      </c>
      <c r="B38" s="5" t="s">
        <v>418</v>
      </c>
      <c r="C38" s="19" t="s">
        <v>419</v>
      </c>
      <c r="D38" s="3" t="s">
        <v>235</v>
      </c>
      <c r="E38" s="19" t="s">
        <v>420</v>
      </c>
      <c r="F38" s="8" t="s">
        <v>421</v>
      </c>
      <c r="G38" s="25" t="s">
        <v>422</v>
      </c>
      <c r="H38" s="15" t="s">
        <v>101</v>
      </c>
      <c r="I38" s="15"/>
      <c r="J38" s="19" t="s">
        <v>6</v>
      </c>
      <c r="K38" s="15" t="s">
        <v>171</v>
      </c>
      <c r="L38" s="44" t="s">
        <v>423</v>
      </c>
      <c r="M38" s="45" t="s">
        <v>424</v>
      </c>
      <c r="N38" s="15" t="s">
        <v>425</v>
      </c>
    </row>
    <row r="39" spans="1:14" ht="102.5" hidden="1" x14ac:dyDescent="0.45">
      <c r="A39" s="2" t="e">
        <f>VLOOKUP(Table1[[#This Row],[Type]],MaturityLevelDescription,3,FALSE)</f>
        <v>#REF!</v>
      </c>
      <c r="B39" s="4" t="s">
        <v>426</v>
      </c>
      <c r="C39" s="3" t="s">
        <v>427</v>
      </c>
      <c r="D39" s="3" t="s">
        <v>242</v>
      </c>
      <c r="E39" s="3" t="s">
        <v>428</v>
      </c>
      <c r="F39" s="8" t="s">
        <v>429</v>
      </c>
      <c r="G39" s="2"/>
      <c r="H39" s="2" t="s">
        <v>101</v>
      </c>
      <c r="I39" s="2"/>
      <c r="J39" s="3" t="s">
        <v>13</v>
      </c>
      <c r="K39" s="2" t="s">
        <v>171</v>
      </c>
      <c r="L39" s="42" t="s">
        <v>430</v>
      </c>
      <c r="M39" s="43" t="s">
        <v>431</v>
      </c>
      <c r="N39" s="2"/>
    </row>
    <row r="40" spans="1:14" ht="116.5" hidden="1" x14ac:dyDescent="0.4">
      <c r="A40" s="2" t="e">
        <f>VLOOKUP(Table1[[#This Row],[Type]],MaturityLevelDescription,3,FALSE)</f>
        <v>#REF!</v>
      </c>
      <c r="B40" s="5" t="s">
        <v>432</v>
      </c>
      <c r="C40" s="3" t="s">
        <v>433</v>
      </c>
      <c r="D40" s="3" t="s">
        <v>235</v>
      </c>
      <c r="E40" s="19" t="s">
        <v>434</v>
      </c>
      <c r="F40" s="19" t="s">
        <v>435</v>
      </c>
      <c r="G40" s="3"/>
      <c r="H40" s="3" t="s">
        <v>101</v>
      </c>
      <c r="I40" s="3" t="s">
        <v>436</v>
      </c>
      <c r="J40" s="3" t="s">
        <v>6</v>
      </c>
      <c r="K40" s="2" t="s">
        <v>171</v>
      </c>
      <c r="L40" s="44" t="s">
        <v>437</v>
      </c>
      <c r="M40" s="45" t="s">
        <v>438</v>
      </c>
      <c r="N40" s="2" t="s">
        <v>425</v>
      </c>
    </row>
    <row r="41" spans="1:14" ht="117" hidden="1" x14ac:dyDescent="0.45">
      <c r="A41" s="2" t="e">
        <f>VLOOKUP(Table1[[#This Row],[Type]],MaturityLevelDescription,3,FALSE)</f>
        <v>#REF!</v>
      </c>
      <c r="B41" s="5" t="s">
        <v>439</v>
      </c>
      <c r="C41" s="3" t="s">
        <v>440</v>
      </c>
      <c r="D41" s="3" t="s">
        <v>345</v>
      </c>
      <c r="E41" s="3" t="s">
        <v>441</v>
      </c>
      <c r="F41" s="8" t="s">
        <v>442</v>
      </c>
      <c r="G41" s="2"/>
      <c r="H41" s="2" t="s">
        <v>101</v>
      </c>
      <c r="I41" s="2"/>
      <c r="J41" s="3" t="s">
        <v>11</v>
      </c>
      <c r="K41" s="2" t="s">
        <v>171</v>
      </c>
      <c r="L41" s="42" t="s">
        <v>443</v>
      </c>
      <c r="M41" s="43" t="s">
        <v>444</v>
      </c>
      <c r="N41" s="2"/>
    </row>
    <row r="42" spans="1:14" ht="131" hidden="1" x14ac:dyDescent="0.4">
      <c r="A42" s="14" t="s">
        <v>2</v>
      </c>
      <c r="B42" s="16" t="s">
        <v>445</v>
      </c>
      <c r="C42" s="21" t="s">
        <v>446</v>
      </c>
      <c r="D42" s="19" t="s">
        <v>302</v>
      </c>
      <c r="E42" s="21" t="s">
        <v>447</v>
      </c>
      <c r="F42" s="9" t="s">
        <v>448</v>
      </c>
      <c r="G42" s="14" t="s">
        <v>401</v>
      </c>
      <c r="H42" s="14" t="s">
        <v>101</v>
      </c>
      <c r="I42" s="14" t="s">
        <v>101</v>
      </c>
      <c r="J42" s="21" t="s">
        <v>10</v>
      </c>
      <c r="K42" s="14" t="s">
        <v>171</v>
      </c>
      <c r="L42" s="44" t="s">
        <v>449</v>
      </c>
      <c r="M42" s="45" t="s">
        <v>450</v>
      </c>
      <c r="N42" s="14" t="s">
        <v>293</v>
      </c>
    </row>
    <row r="43" spans="1:14" ht="117" hidden="1" x14ac:dyDescent="0.45">
      <c r="A43" s="2" t="e">
        <f>VLOOKUP(Table1[[#This Row],[Type]],MaturityLevelDescription,3,FALSE)</f>
        <v>#REF!</v>
      </c>
      <c r="B43" s="4" t="s">
        <v>451</v>
      </c>
      <c r="C43" s="3" t="s">
        <v>452</v>
      </c>
      <c r="D43" s="3" t="s">
        <v>262</v>
      </c>
      <c r="E43" s="3" t="s">
        <v>453</v>
      </c>
      <c r="F43" s="8" t="s">
        <v>454</v>
      </c>
      <c r="G43" s="2"/>
      <c r="H43" s="2" t="s">
        <v>101</v>
      </c>
      <c r="I43" s="2" t="s">
        <v>436</v>
      </c>
      <c r="J43" s="3" t="s">
        <v>15</v>
      </c>
      <c r="K43" s="2" t="s">
        <v>171</v>
      </c>
      <c r="L43" s="42" t="s">
        <v>455</v>
      </c>
      <c r="M43" s="43" t="s">
        <v>456</v>
      </c>
      <c r="N43" s="2"/>
    </row>
    <row r="44" spans="1:14" ht="102.5" x14ac:dyDescent="0.45">
      <c r="A44" s="2" t="e">
        <f>VLOOKUP(Table1[[#This Row],[Type]],MaturityLevelDescription,3,FALSE)</f>
        <v>#REF!</v>
      </c>
      <c r="B44" s="5" t="s">
        <v>457</v>
      </c>
      <c r="C44" s="3" t="s">
        <v>458</v>
      </c>
      <c r="D44" s="3" t="s">
        <v>255</v>
      </c>
      <c r="E44" s="3" t="s">
        <v>459</v>
      </c>
      <c r="F44" s="8" t="s">
        <v>460</v>
      </c>
      <c r="G44" s="2"/>
      <c r="H44" s="2" t="s">
        <v>101</v>
      </c>
      <c r="I44" s="2"/>
      <c r="J44" s="3" t="s">
        <v>5</v>
      </c>
      <c r="K44" s="2" t="s">
        <v>171</v>
      </c>
      <c r="L44" s="44" t="s">
        <v>461</v>
      </c>
      <c r="M44" s="45" t="s">
        <v>462</v>
      </c>
      <c r="N44" s="2"/>
    </row>
    <row r="45" spans="1:14" ht="117" hidden="1" x14ac:dyDescent="0.45">
      <c r="A45" s="2" t="e">
        <f>VLOOKUP(Table1[[#This Row],[Type]],MaturityLevelDescription,3,FALSE)</f>
        <v>#REF!</v>
      </c>
      <c r="B45" s="5" t="s">
        <v>463</v>
      </c>
      <c r="C45" s="3" t="s">
        <v>464</v>
      </c>
      <c r="D45" s="18" t="s">
        <v>208</v>
      </c>
      <c r="E45" s="3" t="s">
        <v>465</v>
      </c>
      <c r="F45" s="22" t="s">
        <v>466</v>
      </c>
      <c r="G45" s="2"/>
      <c r="H45" s="2" t="s">
        <v>101</v>
      </c>
      <c r="I45" s="2"/>
      <c r="J45" s="3" t="s">
        <v>9</v>
      </c>
      <c r="K45" s="2" t="s">
        <v>171</v>
      </c>
      <c r="L45" s="42" t="s">
        <v>467</v>
      </c>
      <c r="M45" s="43" t="s">
        <v>468</v>
      </c>
      <c r="N45" s="2"/>
    </row>
    <row r="46" spans="1:14" ht="117" hidden="1" x14ac:dyDescent="0.45">
      <c r="A46" s="2" t="e">
        <f>VLOOKUP(Table1[[#This Row],[Type]],MaturityLevelDescription,3,FALSE)</f>
        <v>#REF!</v>
      </c>
      <c r="B46" s="4" t="s">
        <v>469</v>
      </c>
      <c r="C46" s="3" t="s">
        <v>470</v>
      </c>
      <c r="D46" s="3" t="s">
        <v>262</v>
      </c>
      <c r="E46" s="3" t="s">
        <v>471</v>
      </c>
      <c r="F46" s="8" t="s">
        <v>472</v>
      </c>
      <c r="G46" s="2"/>
      <c r="H46" s="2" t="s">
        <v>101</v>
      </c>
      <c r="I46" s="2" t="s">
        <v>436</v>
      </c>
      <c r="J46" s="3" t="s">
        <v>15</v>
      </c>
      <c r="K46" s="2" t="s">
        <v>171</v>
      </c>
      <c r="L46" s="44" t="s">
        <v>473</v>
      </c>
      <c r="M46" s="45" t="s">
        <v>474</v>
      </c>
      <c r="N46" s="2"/>
    </row>
    <row r="47" spans="1:14" ht="131.5" x14ac:dyDescent="0.45">
      <c r="A47" s="2" t="e">
        <f>VLOOKUP(Table1[[#This Row],[Type]],MaturityLevelDescription,3,FALSE)</f>
        <v>#REF!</v>
      </c>
      <c r="B47" s="4" t="str">
        <f>Table1[[#This Row],[Data Management Capability]]&amp;" "&amp;"Capability Assessment"</f>
        <v>Business Intelligence &amp; Data Science Capability Assessment</v>
      </c>
      <c r="C47" s="3" t="s">
        <v>475</v>
      </c>
      <c r="D47" s="3" t="s">
        <v>255</v>
      </c>
      <c r="E47" s="3" t="s">
        <v>476</v>
      </c>
      <c r="F47" s="8" t="s">
        <v>477</v>
      </c>
      <c r="G47" s="2"/>
      <c r="H47" s="2" t="s">
        <v>110</v>
      </c>
      <c r="I47" s="2"/>
      <c r="J47" s="3" t="s">
        <v>5</v>
      </c>
      <c r="K47" s="2" t="s">
        <v>171</v>
      </c>
      <c r="L47" s="42" t="s">
        <v>478</v>
      </c>
      <c r="M47" s="43" t="s">
        <v>479</v>
      </c>
      <c r="N47" s="2"/>
    </row>
    <row r="48" spans="1:14" ht="131.5" hidden="1" x14ac:dyDescent="0.45">
      <c r="A48" s="2" t="e">
        <f>VLOOKUP(Table1[[#This Row],[Type]],MaturityLevelDescription,3,FALSE)</f>
        <v>#REF!</v>
      </c>
      <c r="B48" s="4" t="str">
        <f>Table1[[#This Row],[Data Management Capability]]&amp;" "&amp;"Capability Assessment"</f>
        <v>Data Architecture, Modeling &amp; Design Capability Assessment</v>
      </c>
      <c r="C48" s="3" t="s">
        <v>480</v>
      </c>
      <c r="D48" s="3" t="s">
        <v>235</v>
      </c>
      <c r="E48" s="3" t="s">
        <v>481</v>
      </c>
      <c r="F48" s="8" t="s">
        <v>482</v>
      </c>
      <c r="G48" s="2"/>
      <c r="H48" s="2" t="s">
        <v>110</v>
      </c>
      <c r="I48" s="2"/>
      <c r="J48" s="3" t="s">
        <v>6</v>
      </c>
      <c r="K48" s="2" t="s">
        <v>171</v>
      </c>
      <c r="L48" s="44" t="s">
        <v>478</v>
      </c>
      <c r="M48" s="45" t="s">
        <v>479</v>
      </c>
      <c r="N48" s="2"/>
    </row>
    <row r="49" spans="1:14" ht="131" hidden="1" x14ac:dyDescent="0.4">
      <c r="A49" s="2" t="e">
        <f>VLOOKUP(Table1[[#This Row],[Type]],MaturityLevelDescription,3,FALSE)</f>
        <v>#REF!</v>
      </c>
      <c r="B49" s="5" t="s">
        <v>483</v>
      </c>
      <c r="C49" s="3" t="s">
        <v>484</v>
      </c>
      <c r="D49" s="3"/>
      <c r="E49" s="3" t="s">
        <v>485</v>
      </c>
      <c r="F49" s="23" t="s">
        <v>486</v>
      </c>
      <c r="G49" s="2"/>
      <c r="H49" s="2" t="s">
        <v>101</v>
      </c>
      <c r="I49" s="2"/>
      <c r="J49" s="3" t="s">
        <v>7</v>
      </c>
      <c r="K49" s="2" t="s">
        <v>171</v>
      </c>
      <c r="L49" s="42" t="s">
        <v>487</v>
      </c>
      <c r="M49" s="43" t="s">
        <v>488</v>
      </c>
      <c r="N49" s="2"/>
    </row>
    <row r="50" spans="1:14" ht="116.5" hidden="1" x14ac:dyDescent="0.4">
      <c r="A50" s="2" t="e">
        <f>VLOOKUP(Table1[[#This Row],[Type]],MaturityLevelDescription,3,FALSE)</f>
        <v>#REF!</v>
      </c>
      <c r="B50" s="5" t="s">
        <v>489</v>
      </c>
      <c r="C50" s="20" t="s">
        <v>490</v>
      </c>
      <c r="D50" s="20"/>
      <c r="E50" s="20" t="s">
        <v>491</v>
      </c>
      <c r="F50" s="9" t="s">
        <v>492</v>
      </c>
      <c r="G50" s="2"/>
      <c r="H50" s="2" t="s">
        <v>101</v>
      </c>
      <c r="I50" s="2"/>
      <c r="J50" s="3" t="s">
        <v>7</v>
      </c>
      <c r="K50" s="2" t="s">
        <v>171</v>
      </c>
      <c r="L50" s="44" t="s">
        <v>493</v>
      </c>
      <c r="M50" s="45" t="s">
        <v>494</v>
      </c>
      <c r="N50" s="2"/>
    </row>
    <row r="51" spans="1:14" ht="131.5" hidden="1" x14ac:dyDescent="0.45">
      <c r="A51" s="2" t="e">
        <f>VLOOKUP(Table1[[#This Row],[Type]],MaturityLevelDescription,3,FALSE)</f>
        <v>#REF!</v>
      </c>
      <c r="B51" s="4" t="str">
        <f>Table1[[#This Row],[Data Management Capability]]&amp;" "&amp;"Capability Assessment"</f>
        <v>Data Integration &amp; Interoperability Capability Assessment</v>
      </c>
      <c r="C51" s="18" t="s">
        <v>495</v>
      </c>
      <c r="D51" s="3" t="s">
        <v>201</v>
      </c>
      <c r="E51" s="3" t="s">
        <v>496</v>
      </c>
      <c r="F51" s="8" t="s">
        <v>497</v>
      </c>
      <c r="G51" s="2"/>
      <c r="H51" s="2" t="s">
        <v>110</v>
      </c>
      <c r="I51" s="2"/>
      <c r="J51" s="3" t="s">
        <v>8</v>
      </c>
      <c r="K51" s="2" t="s">
        <v>171</v>
      </c>
      <c r="L51" s="42" t="s">
        <v>478</v>
      </c>
      <c r="M51" s="43" t="s">
        <v>479</v>
      </c>
      <c r="N51" s="2"/>
    </row>
    <row r="52" spans="1:14" ht="131" hidden="1" x14ac:dyDescent="0.4">
      <c r="A52" s="2" t="e">
        <f>VLOOKUP(Table1[[#This Row],[Type]],MaturityLevelDescription,3,FALSE)</f>
        <v>#REF!</v>
      </c>
      <c r="B52" s="5" t="s">
        <v>498</v>
      </c>
      <c r="C52" s="20" t="s">
        <v>499</v>
      </c>
      <c r="D52" s="20" t="s">
        <v>215</v>
      </c>
      <c r="E52" s="3"/>
      <c r="F52" s="15"/>
      <c r="G52" s="2"/>
      <c r="H52" s="2" t="s">
        <v>101</v>
      </c>
      <c r="I52" s="2" t="s">
        <v>500</v>
      </c>
      <c r="J52" s="3" t="s">
        <v>7</v>
      </c>
      <c r="K52" s="2"/>
      <c r="L52" s="44" t="s">
        <v>501</v>
      </c>
      <c r="M52" s="45" t="s">
        <v>502</v>
      </c>
      <c r="N52" s="2"/>
    </row>
    <row r="53" spans="1:14" ht="117" hidden="1" x14ac:dyDescent="0.45">
      <c r="A53" s="2" t="e">
        <f>VLOOKUP(Table1[[#This Row],[Type]],MaturityLevelDescription,3,FALSE)</f>
        <v>#REF!</v>
      </c>
      <c r="B53" s="4" t="s">
        <v>503</v>
      </c>
      <c r="C53" s="20" t="s">
        <v>504</v>
      </c>
      <c r="D53" s="18" t="s">
        <v>208</v>
      </c>
      <c r="E53" s="3" t="s">
        <v>505</v>
      </c>
      <c r="F53" s="8" t="s">
        <v>506</v>
      </c>
      <c r="G53" s="2"/>
      <c r="H53" s="2" t="s">
        <v>110</v>
      </c>
      <c r="I53" s="2"/>
      <c r="J53" s="3" t="s">
        <v>9</v>
      </c>
      <c r="K53" s="2" t="s">
        <v>171</v>
      </c>
      <c r="L53" s="42" t="s">
        <v>507</v>
      </c>
      <c r="M53" s="43" t="s">
        <v>508</v>
      </c>
      <c r="N53" s="2"/>
    </row>
    <row r="54" spans="1:14" ht="131.5" hidden="1" x14ac:dyDescent="0.45">
      <c r="A54" s="2" t="e">
        <f>VLOOKUP(Table1[[#This Row],[Type]],MaturityLevelDescription,3,FALSE)</f>
        <v>#REF!</v>
      </c>
      <c r="B54" s="4" t="str">
        <f>Table1[[#This Row],[Data Management Capability]]&amp;" "&amp;"Capability Assessment"</f>
        <v>Data Quality Capability Assessment</v>
      </c>
      <c r="C54" s="18" t="s">
        <v>509</v>
      </c>
      <c r="D54" s="18" t="s">
        <v>208</v>
      </c>
      <c r="E54" s="3" t="s">
        <v>510</v>
      </c>
      <c r="F54" s="8" t="s">
        <v>511</v>
      </c>
      <c r="G54" s="2"/>
      <c r="H54" s="2" t="s">
        <v>110</v>
      </c>
      <c r="I54" s="2"/>
      <c r="J54" s="3" t="s">
        <v>9</v>
      </c>
      <c r="K54" s="2" t="s">
        <v>171</v>
      </c>
      <c r="L54" s="44" t="s">
        <v>478</v>
      </c>
      <c r="M54" s="45" t="s">
        <v>479</v>
      </c>
      <c r="N54" s="2"/>
    </row>
    <row r="55" spans="1:14" ht="131.5" hidden="1" x14ac:dyDescent="0.45">
      <c r="A55" s="2" t="e">
        <f>VLOOKUP(Table1[[#This Row],[Type]],MaturityLevelDescription,3,FALSE)</f>
        <v>#REF!</v>
      </c>
      <c r="B55" s="4" t="str">
        <f>Table1[[#This Row],[Data Management Capability]]&amp;" "&amp;"Capability Assessment"</f>
        <v>Data Security &amp; Privacy Capability Assessment</v>
      </c>
      <c r="C55" s="3" t="s">
        <v>512</v>
      </c>
      <c r="D55" s="19" t="s">
        <v>302</v>
      </c>
      <c r="E55" s="3" t="s">
        <v>513</v>
      </c>
      <c r="F55" s="8" t="s">
        <v>514</v>
      </c>
      <c r="G55" s="2"/>
      <c r="H55" s="2" t="s">
        <v>110</v>
      </c>
      <c r="I55" s="2"/>
      <c r="J55" s="3" t="s">
        <v>10</v>
      </c>
      <c r="K55" s="2" t="s">
        <v>171</v>
      </c>
      <c r="L55" s="42" t="s">
        <v>478</v>
      </c>
      <c r="M55" s="43" t="s">
        <v>479</v>
      </c>
      <c r="N55" s="2"/>
    </row>
    <row r="56" spans="1:14" ht="131.5" hidden="1" x14ac:dyDescent="0.45">
      <c r="A56" s="2" t="e">
        <f>VLOOKUP(Table1[[#This Row],[Type]],MaturityLevelDescription,3,FALSE)</f>
        <v>#REF!</v>
      </c>
      <c r="B56" s="4" t="str">
        <f>Table1[[#This Row],[Data Management Capability]]&amp;" "&amp;"Capability Assessment"</f>
        <v>Data Storage &amp; Warehousing Capability Assessment</v>
      </c>
      <c r="C56" s="3" t="s">
        <v>515</v>
      </c>
      <c r="D56" s="3" t="s">
        <v>345</v>
      </c>
      <c r="E56" s="3" t="s">
        <v>516</v>
      </c>
      <c r="F56" s="8" t="s">
        <v>517</v>
      </c>
      <c r="G56" s="2"/>
      <c r="H56" s="2" t="s">
        <v>110</v>
      </c>
      <c r="I56" s="2"/>
      <c r="J56" s="3" t="s">
        <v>11</v>
      </c>
      <c r="K56" s="2" t="s">
        <v>171</v>
      </c>
      <c r="L56" s="44" t="s">
        <v>478</v>
      </c>
      <c r="M56" s="45" t="s">
        <v>479</v>
      </c>
      <c r="N56" s="2"/>
    </row>
    <row r="57" spans="1:14" ht="131.5" hidden="1" x14ac:dyDescent="0.45">
      <c r="A57" s="2" t="e">
        <f>VLOOKUP(Table1[[#This Row],[Type]],MaturityLevelDescription,3,FALSE)</f>
        <v>#REF!</v>
      </c>
      <c r="B57" s="4" t="str">
        <f>Table1[[#This Row],[Data Management Capability]]&amp;" "&amp;"Capability Assessment"</f>
        <v>Document &amp; Content Capability Assessment</v>
      </c>
      <c r="C57" s="3" t="s">
        <v>518</v>
      </c>
      <c r="D57" s="3" t="s">
        <v>228</v>
      </c>
      <c r="E57" s="3" t="s">
        <v>519</v>
      </c>
      <c r="F57" s="8" t="s">
        <v>520</v>
      </c>
      <c r="G57" s="2"/>
      <c r="H57" s="2" t="s">
        <v>110</v>
      </c>
      <c r="I57" s="2"/>
      <c r="J57" s="3" t="s">
        <v>12</v>
      </c>
      <c r="K57" s="2" t="s">
        <v>171</v>
      </c>
      <c r="L57" s="42" t="s">
        <v>478</v>
      </c>
      <c r="M57" s="43" t="s">
        <v>479</v>
      </c>
      <c r="N57" s="2"/>
    </row>
    <row r="58" spans="1:14" ht="131.5" hidden="1" x14ac:dyDescent="0.45">
      <c r="A58" s="2" t="e">
        <f>VLOOKUP(Table1[[#This Row],[Type]],MaturityLevelDescription,3,FALSE)</f>
        <v>#REF!</v>
      </c>
      <c r="B58" s="4" t="str">
        <f>Table1[[#This Row],[Data Management Capability]]&amp;" "&amp;"Capability Assessment"</f>
        <v>Master Data Management Capability Assessment</v>
      </c>
      <c r="C58" s="3" t="s">
        <v>521</v>
      </c>
      <c r="D58" s="3" t="s">
        <v>242</v>
      </c>
      <c r="E58" s="3" t="s">
        <v>522</v>
      </c>
      <c r="F58" s="8" t="s">
        <v>523</v>
      </c>
      <c r="G58" s="2"/>
      <c r="H58" s="2" t="s">
        <v>110</v>
      </c>
      <c r="I58" s="2"/>
      <c r="J58" s="3" t="s">
        <v>13</v>
      </c>
      <c r="K58" s="2" t="s">
        <v>171</v>
      </c>
      <c r="L58" s="44" t="s">
        <v>478</v>
      </c>
      <c r="M58" s="45" t="s">
        <v>479</v>
      </c>
      <c r="N58" s="2"/>
    </row>
    <row r="59" spans="1:14" ht="131.5" hidden="1" x14ac:dyDescent="0.45">
      <c r="A59" s="2" t="e">
        <f>VLOOKUP(Table1[[#This Row],[Type]],MaturityLevelDescription,3,FALSE)</f>
        <v>#REF!</v>
      </c>
      <c r="B59" s="4" t="str">
        <f>Table1[[#This Row],[Data Management Capability]]&amp;" "&amp;"Capability Assessment"</f>
        <v>Metadata Management Capability Assessment</v>
      </c>
      <c r="C59" s="3" t="s">
        <v>524</v>
      </c>
      <c r="D59" s="12" t="s">
        <v>287</v>
      </c>
      <c r="E59" s="3" t="s">
        <v>525</v>
      </c>
      <c r="F59" s="8" t="s">
        <v>526</v>
      </c>
      <c r="G59" s="2"/>
      <c r="H59" s="2" t="s">
        <v>110</v>
      </c>
      <c r="I59" s="2"/>
      <c r="J59" s="3" t="s">
        <v>14</v>
      </c>
      <c r="K59" s="2" t="s">
        <v>171</v>
      </c>
      <c r="L59" s="42" t="s">
        <v>478</v>
      </c>
      <c r="M59" s="43" t="s">
        <v>479</v>
      </c>
      <c r="N59" s="2"/>
    </row>
    <row r="60" spans="1:14" ht="131.5" hidden="1" x14ac:dyDescent="0.45">
      <c r="A60" s="2" t="e">
        <f>VLOOKUP(Table1[[#This Row],[Type]],MaturityLevelDescription,3,FALSE)</f>
        <v>#REF!</v>
      </c>
      <c r="B60" s="4" t="str">
        <f>Table1[[#This Row],[Data Management Capability]]&amp;" "&amp;"Capability Assessment"</f>
        <v>Reference Data Management Capability Assessment</v>
      </c>
      <c r="C60" s="3" t="s">
        <v>527</v>
      </c>
      <c r="D60" s="3" t="s">
        <v>262</v>
      </c>
      <c r="E60" s="3" t="s">
        <v>528</v>
      </c>
      <c r="F60" s="8" t="s">
        <v>529</v>
      </c>
      <c r="G60" s="2"/>
      <c r="H60" s="2" t="s">
        <v>110</v>
      </c>
      <c r="I60" s="2"/>
      <c r="J60" s="3" t="s">
        <v>15</v>
      </c>
      <c r="K60" s="2" t="s">
        <v>171</v>
      </c>
      <c r="L60" s="44" t="s">
        <v>478</v>
      </c>
      <c r="M60" s="45" t="s">
        <v>479</v>
      </c>
      <c r="N60" s="2"/>
    </row>
    <row r="61" spans="1:14" ht="145.5" x14ac:dyDescent="0.4">
      <c r="A61" s="2" t="e">
        <f>VLOOKUP(Table1[[#This Row],[Type]],MaturityLevelDescription,3,FALSE)</f>
        <v>#REF!</v>
      </c>
      <c r="B61" s="5" t="s">
        <v>530</v>
      </c>
      <c r="C61" s="3" t="s">
        <v>531</v>
      </c>
      <c r="D61" s="3" t="s">
        <v>255</v>
      </c>
      <c r="E61" s="3" t="s">
        <v>532</v>
      </c>
      <c r="F61" s="9" t="s">
        <v>533</v>
      </c>
      <c r="G61" s="2"/>
      <c r="H61" s="2" t="s">
        <v>116</v>
      </c>
      <c r="I61" s="2"/>
      <c r="J61" s="3" t="s">
        <v>5</v>
      </c>
      <c r="K61" s="2" t="s">
        <v>171</v>
      </c>
      <c r="L61" s="42" t="s">
        <v>534</v>
      </c>
      <c r="M61" s="43" t="s">
        <v>535</v>
      </c>
      <c r="N61" s="2"/>
    </row>
    <row r="62" spans="1:14" ht="145.5" hidden="1" x14ac:dyDescent="0.4">
      <c r="A62" s="2" t="e">
        <f>VLOOKUP(Table1[[#This Row],[Type]],MaturityLevelDescription,3,FALSE)</f>
        <v>#REF!</v>
      </c>
      <c r="B62" s="5" t="s">
        <v>536</v>
      </c>
      <c r="C62" s="3" t="s">
        <v>537</v>
      </c>
      <c r="D62" s="3" t="s">
        <v>235</v>
      </c>
      <c r="E62" s="3" t="s">
        <v>538</v>
      </c>
      <c r="F62" s="21" t="s">
        <v>539</v>
      </c>
      <c r="G62" s="2"/>
      <c r="H62" s="2" t="s">
        <v>116</v>
      </c>
      <c r="I62" s="2"/>
      <c r="J62" s="3" t="s">
        <v>6</v>
      </c>
      <c r="K62" s="2" t="s">
        <v>171</v>
      </c>
      <c r="L62" s="44" t="s">
        <v>534</v>
      </c>
      <c r="M62" s="45" t="s">
        <v>535</v>
      </c>
      <c r="N62" s="2"/>
    </row>
    <row r="63" spans="1:14" ht="131" hidden="1" x14ac:dyDescent="0.4">
      <c r="A63" s="10" t="s">
        <v>3</v>
      </c>
      <c r="B63" s="11" t="s">
        <v>540</v>
      </c>
      <c r="C63" s="21" t="s">
        <v>541</v>
      </c>
      <c r="D63" s="21"/>
      <c r="E63" s="21" t="s">
        <v>401</v>
      </c>
      <c r="F63" s="9" t="s">
        <v>542</v>
      </c>
      <c r="G63" s="14" t="s">
        <v>13</v>
      </c>
      <c r="H63" s="14" t="s">
        <v>110</v>
      </c>
      <c r="I63" s="14" t="s">
        <v>401</v>
      </c>
      <c r="J63" s="21" t="s">
        <v>7</v>
      </c>
      <c r="K63" s="14" t="s">
        <v>401</v>
      </c>
      <c r="L63" s="42" t="s">
        <v>543</v>
      </c>
      <c r="M63" s="43" t="s">
        <v>544</v>
      </c>
      <c r="N63" s="41" t="s">
        <v>405</v>
      </c>
    </row>
    <row r="64" spans="1:14" ht="145.5" hidden="1" x14ac:dyDescent="0.4">
      <c r="A64" s="15" t="e">
        <f>VLOOKUP(Table1[[#This Row],[Type]],MaturityLevelDescription,3,FALSE)</f>
        <v>#REF!</v>
      </c>
      <c r="B64" s="17" t="s">
        <v>545</v>
      </c>
      <c r="C64" s="12" t="s">
        <v>546</v>
      </c>
      <c r="D64" s="3" t="s">
        <v>201</v>
      </c>
      <c r="E64" s="3" t="s">
        <v>547</v>
      </c>
      <c r="F64" s="9" t="s">
        <v>548</v>
      </c>
      <c r="G64" s="15"/>
      <c r="H64" s="15" t="s">
        <v>116</v>
      </c>
      <c r="I64" s="15"/>
      <c r="J64" s="19" t="s">
        <v>8</v>
      </c>
      <c r="K64" s="15" t="s">
        <v>171</v>
      </c>
      <c r="L64" s="44" t="s">
        <v>534</v>
      </c>
      <c r="M64" s="45" t="s">
        <v>535</v>
      </c>
      <c r="N64" s="2"/>
    </row>
    <row r="65" spans="1:14" ht="131" hidden="1" x14ac:dyDescent="0.4">
      <c r="A65" s="2" t="e">
        <f>VLOOKUP(Table1[[#This Row],[Type]],MaturityLevelDescription,3,FALSE)</f>
        <v>#REF!</v>
      </c>
      <c r="B65" s="5" t="s">
        <v>549</v>
      </c>
      <c r="C65" s="3" t="s">
        <v>550</v>
      </c>
      <c r="D65" s="20" t="s">
        <v>215</v>
      </c>
      <c r="E65" s="3" t="s">
        <v>551</v>
      </c>
      <c r="F65" s="24" t="s">
        <v>552</v>
      </c>
      <c r="G65" s="2"/>
      <c r="H65" s="2" t="s">
        <v>110</v>
      </c>
      <c r="I65" s="2"/>
      <c r="J65" s="3" t="s">
        <v>7</v>
      </c>
      <c r="K65" s="2" t="s">
        <v>171</v>
      </c>
      <c r="L65" s="42" t="s">
        <v>478</v>
      </c>
      <c r="M65" s="43" t="s">
        <v>479</v>
      </c>
      <c r="N65" s="2"/>
    </row>
    <row r="66" spans="1:14" ht="116.5" hidden="1" x14ac:dyDescent="0.4">
      <c r="A66" s="2" t="e">
        <f>VLOOKUP(Table1[[#This Row],[Type]],MaturityLevelDescription,3,FALSE)</f>
        <v>#REF!</v>
      </c>
      <c r="B66" s="5" t="s">
        <v>553</v>
      </c>
      <c r="C66" s="3" t="s">
        <v>554</v>
      </c>
      <c r="D66" s="3"/>
      <c r="E66" s="3" t="s">
        <v>555</v>
      </c>
      <c r="F66" s="23" t="s">
        <v>556</v>
      </c>
      <c r="G66" s="2"/>
      <c r="H66" s="2" t="s">
        <v>110</v>
      </c>
      <c r="I66" s="2" t="s">
        <v>387</v>
      </c>
      <c r="J66" s="3" t="s">
        <v>7</v>
      </c>
      <c r="K66" s="2" t="s">
        <v>171</v>
      </c>
      <c r="L66" s="44" t="s">
        <v>557</v>
      </c>
      <c r="M66" s="45" t="s">
        <v>558</v>
      </c>
      <c r="N66" s="2"/>
    </row>
    <row r="67" spans="1:14" ht="116.5" hidden="1" x14ac:dyDescent="0.4">
      <c r="A67" s="2" t="e">
        <f>VLOOKUP(Table1[[#This Row],[Type]],MaturityLevelDescription,3,FALSE)</f>
        <v>#REF!</v>
      </c>
      <c r="B67" s="5" t="s">
        <v>559</v>
      </c>
      <c r="C67" s="3" t="s">
        <v>560</v>
      </c>
      <c r="D67" s="20" t="s">
        <v>215</v>
      </c>
      <c r="E67" s="3"/>
      <c r="F67" s="15"/>
      <c r="G67" s="2"/>
      <c r="H67" s="2" t="s">
        <v>110</v>
      </c>
      <c r="I67" s="2" t="s">
        <v>500</v>
      </c>
      <c r="J67" s="3" t="s">
        <v>7</v>
      </c>
      <c r="K67" s="2"/>
      <c r="L67" s="42" t="s">
        <v>561</v>
      </c>
      <c r="M67" s="43" t="s">
        <v>562</v>
      </c>
      <c r="N67" s="2"/>
    </row>
    <row r="68" spans="1:14" ht="145.5" hidden="1" x14ac:dyDescent="0.4">
      <c r="A68" s="2" t="e">
        <f>VLOOKUP(Table1[[#This Row],[Type]],MaturityLevelDescription,3,FALSE)</f>
        <v>#REF!</v>
      </c>
      <c r="B68" s="5" t="s">
        <v>563</v>
      </c>
      <c r="C68" s="20" t="s">
        <v>564</v>
      </c>
      <c r="D68" s="20" t="s">
        <v>215</v>
      </c>
      <c r="E68" s="3" t="s">
        <v>565</v>
      </c>
      <c r="F68" s="9" t="s">
        <v>566</v>
      </c>
      <c r="G68" s="2"/>
      <c r="H68" s="2" t="s">
        <v>116</v>
      </c>
      <c r="I68" s="2" t="s">
        <v>567</v>
      </c>
      <c r="J68" s="3" t="s">
        <v>7</v>
      </c>
      <c r="K68" s="2" t="s">
        <v>171</v>
      </c>
      <c r="L68" s="44" t="s">
        <v>534</v>
      </c>
      <c r="M68" s="45" t="s">
        <v>535</v>
      </c>
      <c r="N68" s="2"/>
    </row>
    <row r="69" spans="1:14" ht="117" hidden="1" x14ac:dyDescent="0.45">
      <c r="A69" s="2" t="e">
        <f>VLOOKUP(Table1[[#This Row],[Type]],MaturityLevelDescription,3,FALSE)</f>
        <v>#REF!</v>
      </c>
      <c r="B69" s="4" t="s">
        <v>568</v>
      </c>
      <c r="C69" s="20" t="s">
        <v>569</v>
      </c>
      <c r="D69" s="18" t="s">
        <v>208</v>
      </c>
      <c r="E69" s="20" t="s">
        <v>570</v>
      </c>
      <c r="F69" s="8" t="s">
        <v>571</v>
      </c>
      <c r="G69" s="2"/>
      <c r="H69" s="2" t="s">
        <v>116</v>
      </c>
      <c r="I69" s="2"/>
      <c r="J69" s="3" t="s">
        <v>9</v>
      </c>
      <c r="K69" s="2" t="s">
        <v>171</v>
      </c>
      <c r="L69" s="42" t="s">
        <v>572</v>
      </c>
      <c r="M69" s="43" t="s">
        <v>573</v>
      </c>
      <c r="N69" s="2"/>
    </row>
    <row r="70" spans="1:14" ht="145.5" hidden="1" x14ac:dyDescent="0.4">
      <c r="A70" s="2" t="e">
        <f>VLOOKUP(Table1[[#This Row],[Type]],MaturityLevelDescription,3,FALSE)</f>
        <v>#REF!</v>
      </c>
      <c r="B70" s="5" t="s">
        <v>574</v>
      </c>
      <c r="C70" s="18" t="s">
        <v>575</v>
      </c>
      <c r="D70" s="18" t="s">
        <v>208</v>
      </c>
      <c r="E70" s="3" t="s">
        <v>576</v>
      </c>
      <c r="F70" s="9" t="s">
        <v>577</v>
      </c>
      <c r="G70" s="2"/>
      <c r="H70" s="2" t="s">
        <v>116</v>
      </c>
      <c r="I70" s="2"/>
      <c r="J70" s="3" t="s">
        <v>9</v>
      </c>
      <c r="K70" s="2" t="s">
        <v>171</v>
      </c>
      <c r="L70" s="44" t="s">
        <v>534</v>
      </c>
      <c r="M70" s="45" t="s">
        <v>535</v>
      </c>
      <c r="N70" s="2"/>
    </row>
    <row r="71" spans="1:14" ht="145.5" hidden="1" x14ac:dyDescent="0.4">
      <c r="A71" s="2" t="e">
        <f>VLOOKUP(Table1[[#This Row],[Type]],MaturityLevelDescription,3,FALSE)</f>
        <v>#REF!</v>
      </c>
      <c r="B71" s="5" t="s">
        <v>578</v>
      </c>
      <c r="C71" s="3" t="s">
        <v>579</v>
      </c>
      <c r="D71" s="19" t="s">
        <v>302</v>
      </c>
      <c r="E71" s="3" t="s">
        <v>580</v>
      </c>
      <c r="F71" s="9" t="s">
        <v>581</v>
      </c>
      <c r="G71" s="2"/>
      <c r="H71" s="2" t="s">
        <v>116</v>
      </c>
      <c r="I71" s="2"/>
      <c r="J71" s="3" t="s">
        <v>10</v>
      </c>
      <c r="K71" s="2" t="s">
        <v>171</v>
      </c>
      <c r="L71" s="42" t="s">
        <v>534</v>
      </c>
      <c r="M71" s="43" t="s">
        <v>535</v>
      </c>
      <c r="N71" s="2"/>
    </row>
    <row r="72" spans="1:14" ht="145.5" hidden="1" x14ac:dyDescent="0.4">
      <c r="A72" s="2" t="e">
        <f>VLOOKUP(Table1[[#This Row],[Type]],MaturityLevelDescription,3,FALSE)</f>
        <v>#REF!</v>
      </c>
      <c r="B72" s="5" t="s">
        <v>582</v>
      </c>
      <c r="C72" s="3" t="s">
        <v>583</v>
      </c>
      <c r="D72" s="3" t="s">
        <v>345</v>
      </c>
      <c r="E72" s="3" t="s">
        <v>584</v>
      </c>
      <c r="F72" s="9" t="s">
        <v>585</v>
      </c>
      <c r="G72" s="2"/>
      <c r="H72" s="2" t="s">
        <v>116</v>
      </c>
      <c r="I72" s="2"/>
      <c r="J72" s="3" t="s">
        <v>11</v>
      </c>
      <c r="K72" s="2" t="s">
        <v>171</v>
      </c>
      <c r="L72" s="44" t="s">
        <v>534</v>
      </c>
      <c r="M72" s="45" t="s">
        <v>535</v>
      </c>
      <c r="N72" s="2"/>
    </row>
    <row r="73" spans="1:14" ht="145.5" hidden="1" x14ac:dyDescent="0.4">
      <c r="A73" s="2" t="e">
        <f>VLOOKUP(Table1[[#This Row],[Type]],MaturityLevelDescription,3,FALSE)</f>
        <v>#REF!</v>
      </c>
      <c r="B73" s="5" t="s">
        <v>586</v>
      </c>
      <c r="C73" s="3" t="s">
        <v>587</v>
      </c>
      <c r="D73" s="3" t="s">
        <v>228</v>
      </c>
      <c r="E73" s="3" t="s">
        <v>588</v>
      </c>
      <c r="F73" s="9" t="s">
        <v>589</v>
      </c>
      <c r="G73" s="2"/>
      <c r="H73" s="2" t="s">
        <v>116</v>
      </c>
      <c r="I73" s="2"/>
      <c r="J73" s="3" t="s">
        <v>12</v>
      </c>
      <c r="K73" s="2" t="s">
        <v>171</v>
      </c>
      <c r="L73" s="42" t="s">
        <v>534</v>
      </c>
      <c r="M73" s="43" t="s">
        <v>535</v>
      </c>
      <c r="N73" s="2"/>
    </row>
    <row r="74" spans="1:14" ht="145.5" hidden="1" x14ac:dyDescent="0.4">
      <c r="A74" s="2" t="e">
        <f>VLOOKUP(Table1[[#This Row],[Type]],MaturityLevelDescription,3,FALSE)</f>
        <v>#REF!</v>
      </c>
      <c r="B74" s="5" t="s">
        <v>590</v>
      </c>
      <c r="C74" s="3" t="s">
        <v>591</v>
      </c>
      <c r="D74" s="3" t="s">
        <v>242</v>
      </c>
      <c r="E74" s="3" t="s">
        <v>592</v>
      </c>
      <c r="F74" s="21" t="s">
        <v>593</v>
      </c>
      <c r="G74" s="2"/>
      <c r="H74" s="2" t="s">
        <v>116</v>
      </c>
      <c r="I74" s="2"/>
      <c r="J74" s="3" t="s">
        <v>13</v>
      </c>
      <c r="K74" s="2" t="s">
        <v>171</v>
      </c>
      <c r="L74" s="44" t="s">
        <v>534</v>
      </c>
      <c r="M74" s="45" t="s">
        <v>535</v>
      </c>
      <c r="N74" s="2"/>
    </row>
    <row r="75" spans="1:14" ht="145.5" hidden="1" x14ac:dyDescent="0.4">
      <c r="A75" s="2" t="e">
        <f>VLOOKUP(Table1[[#This Row],[Type]],MaturityLevelDescription,3,FALSE)</f>
        <v>#REF!</v>
      </c>
      <c r="B75" s="5" t="s">
        <v>594</v>
      </c>
      <c r="C75" s="3" t="s">
        <v>595</v>
      </c>
      <c r="D75" s="12" t="s">
        <v>287</v>
      </c>
      <c r="E75" s="3" t="s">
        <v>596</v>
      </c>
      <c r="F75" s="9" t="s">
        <v>597</v>
      </c>
      <c r="G75" s="2"/>
      <c r="H75" s="2" t="s">
        <v>116</v>
      </c>
      <c r="I75" s="2"/>
      <c r="J75" s="3" t="s">
        <v>14</v>
      </c>
      <c r="K75" s="2" t="s">
        <v>171</v>
      </c>
      <c r="L75" s="42" t="s">
        <v>534</v>
      </c>
      <c r="M75" s="43" t="s">
        <v>535</v>
      </c>
      <c r="N75" s="2"/>
    </row>
    <row r="76" spans="1:14" ht="145.5" hidden="1" x14ac:dyDescent="0.4">
      <c r="A76" s="2" t="e">
        <f>VLOOKUP(Table1[[#This Row],[Type]],MaturityLevelDescription,3,FALSE)</f>
        <v>#REF!</v>
      </c>
      <c r="B76" s="5" t="s">
        <v>598</v>
      </c>
      <c r="C76" s="3" t="s">
        <v>599</v>
      </c>
      <c r="D76" s="3" t="s">
        <v>262</v>
      </c>
      <c r="E76" s="3" t="s">
        <v>600</v>
      </c>
      <c r="F76" s="9" t="s">
        <v>601</v>
      </c>
      <c r="G76" s="2"/>
      <c r="H76" s="2" t="s">
        <v>116</v>
      </c>
      <c r="I76" s="2"/>
      <c r="J76" s="3" t="s">
        <v>15</v>
      </c>
      <c r="K76" s="2" t="s">
        <v>171</v>
      </c>
      <c r="L76" s="44" t="s">
        <v>534</v>
      </c>
      <c r="M76" s="45" t="s">
        <v>535</v>
      </c>
      <c r="N76" s="2"/>
    </row>
    <row r="77" spans="1:14" ht="146" hidden="1" x14ac:dyDescent="0.45">
      <c r="A77" s="2" t="e">
        <f>VLOOKUP(Table1[[#This Row],[Type]],MaturityLevelDescription,3,FALSE)</f>
        <v>#REF!</v>
      </c>
      <c r="B77" s="5" t="s">
        <v>602</v>
      </c>
      <c r="C77" s="18" t="s">
        <v>603</v>
      </c>
      <c r="D77" s="18"/>
      <c r="E77" s="18" t="s">
        <v>604</v>
      </c>
      <c r="F77" s="22" t="s">
        <v>605</v>
      </c>
      <c r="G77" s="2"/>
      <c r="H77" s="2" t="s">
        <v>116</v>
      </c>
      <c r="I77" s="2" t="s">
        <v>567</v>
      </c>
      <c r="J77" s="3" t="s">
        <v>7</v>
      </c>
      <c r="K77" s="2" t="s">
        <v>171</v>
      </c>
      <c r="L77" s="42" t="s">
        <v>606</v>
      </c>
      <c r="M77" s="43" t="s">
        <v>607</v>
      </c>
      <c r="N77" s="2"/>
    </row>
    <row r="78" spans="1:14" ht="131" hidden="1" x14ac:dyDescent="0.4">
      <c r="A78" s="2" t="e">
        <f>VLOOKUP(Table1[[#This Row],[Type]],MaturityLevelDescription,3,FALSE)</f>
        <v>#REF!</v>
      </c>
      <c r="B78" s="5" t="s">
        <v>608</v>
      </c>
      <c r="C78" s="12" t="s">
        <v>609</v>
      </c>
      <c r="D78" s="20"/>
      <c r="E78" s="20" t="s">
        <v>610</v>
      </c>
      <c r="F78" s="21" t="s">
        <v>611</v>
      </c>
      <c r="G78" s="2"/>
      <c r="H78" s="2" t="s">
        <v>116</v>
      </c>
      <c r="I78" s="2"/>
      <c r="J78" s="3" t="s">
        <v>7</v>
      </c>
      <c r="K78" s="2" t="s">
        <v>171</v>
      </c>
      <c r="L78" s="44" t="s">
        <v>612</v>
      </c>
      <c r="M78" s="45" t="s">
        <v>613</v>
      </c>
      <c r="N78" s="2"/>
    </row>
    <row r="79" spans="1:14" ht="116.5" hidden="1" x14ac:dyDescent="0.4">
      <c r="A79" s="2" t="e">
        <f>VLOOKUP(Table1[[#This Row],[Type]],MaturityLevelDescription,3,FALSE)</f>
        <v>#REF!</v>
      </c>
      <c r="B79" s="5" t="s">
        <v>614</v>
      </c>
      <c r="C79" s="18" t="s">
        <v>615</v>
      </c>
      <c r="D79" s="18"/>
      <c r="E79" s="20" t="s">
        <v>616</v>
      </c>
      <c r="F79" s="21" t="s">
        <v>617</v>
      </c>
      <c r="G79" s="2"/>
      <c r="H79" s="2" t="s">
        <v>116</v>
      </c>
      <c r="I79" s="2"/>
      <c r="J79" s="3" t="s">
        <v>7</v>
      </c>
      <c r="K79" s="2" t="s">
        <v>171</v>
      </c>
      <c r="L79" s="42" t="s">
        <v>618</v>
      </c>
      <c r="M79" s="43" t="s">
        <v>619</v>
      </c>
      <c r="N79" s="2"/>
    </row>
    <row r="80" spans="1:14" ht="116.5" hidden="1" x14ac:dyDescent="0.4">
      <c r="A80" s="2" t="e">
        <f>VLOOKUP(Table1[[#This Row],[Type]],MaturityLevelDescription,3,FALSE)</f>
        <v>#REF!</v>
      </c>
      <c r="B80" s="5" t="s">
        <v>620</v>
      </c>
      <c r="C80" s="20" t="s">
        <v>621</v>
      </c>
      <c r="D80" s="20"/>
      <c r="E80" s="20" t="s">
        <v>622</v>
      </c>
      <c r="F80" s="21" t="s">
        <v>623</v>
      </c>
      <c r="G80" s="2"/>
      <c r="H80" s="2" t="s">
        <v>116</v>
      </c>
      <c r="I80" s="2"/>
      <c r="J80" s="3" t="s">
        <v>7</v>
      </c>
      <c r="K80" s="2" t="s">
        <v>171</v>
      </c>
      <c r="L80" s="44" t="s">
        <v>624</v>
      </c>
      <c r="M80" s="45" t="s">
        <v>625</v>
      </c>
      <c r="N80" s="2"/>
    </row>
  </sheetData>
  <dataValidations count="1">
    <dataValidation type="list" allowBlank="1" showInputMessage="1" showErrorMessage="1" sqref="H1 H3:H13 H15:H37 H39:H63 H65:H1048576" xr:uid="{56783475-8EDD-B940-B1EA-D559B0474D7B}">
      <formula1>CriteriaType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IA Criteria</vt:lpstr>
      <vt:lpstr>General Comments</vt:lpstr>
      <vt:lpstr>Reference</vt:lpstr>
      <vt:lpstr>Archive Detailed 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Carter, Dwayne@HCAI</dc:creator>
  <cp:keywords/>
  <dc:description/>
  <cp:lastModifiedBy>Jeff Strand</cp:lastModifiedBy>
  <cp:revision/>
  <dcterms:created xsi:type="dcterms:W3CDTF">2025-08-05T18:22:14Z</dcterms:created>
  <dcterms:modified xsi:type="dcterms:W3CDTF">2026-04-24T04:48:35Z</dcterms:modified>
  <cp:category/>
  <cp:contentStatus/>
</cp:coreProperties>
</file>